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ЦяКнига" defaultThemeVersion="153222"/>
  <mc:AlternateContent xmlns:mc="http://schemas.openxmlformats.org/markup-compatibility/2006">
    <mc:Choice Requires="x15">
      <x15ac:absPath xmlns:x15ac="http://schemas.microsoft.com/office/spreadsheetml/2010/11/ac" url="F:\Lab\пакети прикладних програм\"/>
    </mc:Choice>
  </mc:AlternateContent>
  <bookViews>
    <workbookView xWindow="0" yWindow="0" windowWidth="2430" windowHeight="450" activeTab="2"/>
  </bookViews>
  <sheets>
    <sheet name="Структура сценария" sheetId="10" r:id="rId1"/>
    <sheet name="Аркуш1" sheetId="1" r:id="rId2"/>
    <sheet name="Аркуш2" sheetId="4" r:id="rId3"/>
  </sheets>
  <externalReferences>
    <externalReference r:id="rId4"/>
  </externalReferences>
  <definedNames>
    <definedName name="_xlnm._FilterDatabase" localSheetId="1" hidden="1">Аркуш1!$B$7:$C$71</definedName>
    <definedName name="cумка">Аркуш1!$C$4</definedName>
    <definedName name="_xlnm.Print_Titles" localSheetId="1">Аркуш1!$7:$7</definedName>
    <definedName name="Курс">Аркуш1!$M$4</definedName>
    <definedName name="лилия">Аркуш1!$C$6</definedName>
    <definedName name="лилияИтог">Аркуш1!$H$46</definedName>
    <definedName name="_xlnm.Print_Area" localSheetId="1">Аркуш1!$A$7:$H$73</definedName>
    <definedName name="общийИтог">Аркуш1!$H$73</definedName>
    <definedName name="олівець">Аркуш1!$C$3</definedName>
    <definedName name="олівецьИтог">Аркуш1!$H$59</definedName>
    <definedName name="ручка">Аркуш1!$C$2</definedName>
    <definedName name="ручкаИтог">Аркуш1!$H$72</definedName>
    <definedName name="сумкаИтог">Аркуш1!$H$33</definedName>
    <definedName name="яблоко">Аркуш1!$C$5</definedName>
    <definedName name="яблокоИтог">Аркуш1!$H$20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4" l="1"/>
  <c r="A5" i="4"/>
  <c r="A6" i="4"/>
  <c r="A7" i="4"/>
  <c r="A8" i="4"/>
  <c r="A9" i="4"/>
  <c r="A10" i="4"/>
  <c r="A11" i="4"/>
  <c r="A12" i="4"/>
  <c r="A13" i="4"/>
  <c r="A14" i="4"/>
  <c r="A3" i="4"/>
  <c r="G19" i="1"/>
  <c r="G18" i="1"/>
  <c r="G17" i="1"/>
  <c r="G16" i="1"/>
  <c r="G15" i="1"/>
  <c r="G14" i="1"/>
  <c r="G13" i="1"/>
  <c r="G12" i="1"/>
  <c r="G11" i="1"/>
  <c r="G10" i="1"/>
  <c r="G9" i="1"/>
  <c r="G8" i="1"/>
  <c r="G32" i="1"/>
  <c r="G31" i="1"/>
  <c r="G30" i="1"/>
  <c r="G29" i="1"/>
  <c r="G28" i="1"/>
  <c r="G27" i="1"/>
  <c r="G26" i="1"/>
  <c r="G25" i="1"/>
  <c r="G24" i="1"/>
  <c r="G23" i="1"/>
  <c r="G22" i="1"/>
  <c r="G21" i="1"/>
  <c r="G58" i="1"/>
  <c r="G57" i="1"/>
  <c r="G56" i="1"/>
  <c r="G55" i="1"/>
  <c r="G54" i="1"/>
  <c r="G53" i="1"/>
  <c r="G52" i="1"/>
  <c r="G51" i="1"/>
  <c r="G50" i="1"/>
  <c r="G49" i="1"/>
  <c r="G48" i="1"/>
  <c r="G47" i="1"/>
  <c r="G71" i="1"/>
  <c r="G70" i="1"/>
  <c r="G69" i="1"/>
  <c r="G68" i="1"/>
  <c r="G67" i="1"/>
  <c r="G66" i="1"/>
  <c r="G65" i="1"/>
  <c r="G64" i="1"/>
  <c r="G63" i="1"/>
  <c r="G62" i="1"/>
  <c r="G61" i="1"/>
  <c r="G60" i="1"/>
  <c r="G45" i="1"/>
  <c r="G44" i="1"/>
  <c r="G43" i="1"/>
  <c r="G42" i="1"/>
  <c r="G41" i="1"/>
  <c r="G40" i="1"/>
  <c r="G39" i="1"/>
  <c r="G38" i="1"/>
  <c r="G37" i="1"/>
  <c r="G36" i="1"/>
  <c r="G35" i="1"/>
  <c r="G34" i="1"/>
  <c r="F14" i="4" l="1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F5" i="4"/>
  <c r="E5" i="4"/>
  <c r="D5" i="4"/>
  <c r="C5" i="4"/>
  <c r="B5" i="4"/>
  <c r="F4" i="4"/>
  <c r="E4" i="4"/>
  <c r="D4" i="4"/>
  <c r="C4" i="4"/>
  <c r="B4" i="4"/>
  <c r="F3" i="4"/>
  <c r="E3" i="4"/>
  <c r="D3" i="4"/>
  <c r="C3" i="4"/>
  <c r="B3" i="4"/>
  <c r="K2" i="4"/>
  <c r="J2" i="4"/>
  <c r="I2" i="4"/>
  <c r="H2" i="4"/>
  <c r="G2" i="4"/>
  <c r="F2" i="4"/>
  <c r="E2" i="4"/>
  <c r="D2" i="4"/>
  <c r="C2" i="4"/>
  <c r="B2" i="4"/>
  <c r="E72" i="1"/>
  <c r="H71" i="1"/>
  <c r="I71" i="1" s="1"/>
  <c r="F71" i="1"/>
  <c r="F70" i="1"/>
  <c r="H70" i="1" s="1"/>
  <c r="I70" i="1" s="1"/>
  <c r="H69" i="1"/>
  <c r="I69" i="1" s="1"/>
  <c r="F69" i="1"/>
  <c r="F68" i="1"/>
  <c r="F67" i="1"/>
  <c r="F66" i="1"/>
  <c r="F65" i="1"/>
  <c r="H65" i="1" s="1"/>
  <c r="I65" i="1" s="1"/>
  <c r="F64" i="1"/>
  <c r="H64" i="1" s="1"/>
  <c r="I64" i="1" s="1"/>
  <c r="F63" i="1"/>
  <c r="H63" i="1" s="1"/>
  <c r="I63" i="1" s="1"/>
  <c r="F62" i="1"/>
  <c r="H62" i="1" s="1"/>
  <c r="I62" i="1" s="1"/>
  <c r="F61" i="1"/>
  <c r="F60" i="1"/>
  <c r="E59" i="1"/>
  <c r="H58" i="1"/>
  <c r="I58" i="1" s="1"/>
  <c r="F58" i="1"/>
  <c r="F57" i="1"/>
  <c r="H57" i="1" s="1"/>
  <c r="I57" i="1" s="1"/>
  <c r="F56" i="1"/>
  <c r="F55" i="1"/>
  <c r="F54" i="1"/>
  <c r="F53" i="1"/>
  <c r="H53" i="1" s="1"/>
  <c r="I53" i="1" s="1"/>
  <c r="F52" i="1"/>
  <c r="H51" i="1"/>
  <c r="I51" i="1" s="1"/>
  <c r="F51" i="1"/>
  <c r="F50" i="1"/>
  <c r="F49" i="1"/>
  <c r="H49" i="1" s="1"/>
  <c r="I49" i="1" s="1"/>
  <c r="F48" i="1"/>
  <c r="F47" i="1"/>
  <c r="E46" i="1"/>
  <c r="F45" i="1"/>
  <c r="F44" i="1"/>
  <c r="F43" i="1"/>
  <c r="F42" i="1"/>
  <c r="F41" i="1"/>
  <c r="F40" i="1"/>
  <c r="F39" i="1"/>
  <c r="F38" i="1"/>
  <c r="F37" i="1"/>
  <c r="F36" i="1"/>
  <c r="H36" i="1" s="1"/>
  <c r="I36" i="1" s="1"/>
  <c r="F35" i="1"/>
  <c r="F34" i="1"/>
  <c r="F46" i="1" s="1"/>
  <c r="E33" i="1"/>
  <c r="F32" i="1"/>
  <c r="F31" i="1"/>
  <c r="F30" i="1"/>
  <c r="F29" i="1"/>
  <c r="F28" i="1"/>
  <c r="F27" i="1"/>
  <c r="F26" i="1"/>
  <c r="F25" i="1"/>
  <c r="F24" i="1"/>
  <c r="F23" i="1"/>
  <c r="F22" i="1"/>
  <c r="F21" i="1"/>
  <c r="E20" i="1"/>
  <c r="F19" i="1"/>
  <c r="H18" i="1"/>
  <c r="I18" i="1" s="1"/>
  <c r="L18" i="1" s="1"/>
  <c r="F18" i="1"/>
  <c r="F17" i="1"/>
  <c r="F16" i="1"/>
  <c r="H16" i="1" s="1"/>
  <c r="K16" i="1" s="1"/>
  <c r="F15" i="1"/>
  <c r="F14" i="1"/>
  <c r="H14" i="1" s="1"/>
  <c r="K14" i="1" s="1"/>
  <c r="F13" i="1"/>
  <c r="F12" i="1"/>
  <c r="H12" i="1" s="1"/>
  <c r="K12" i="1" s="1"/>
  <c r="F11" i="1"/>
  <c r="H11" i="1" s="1"/>
  <c r="F10" i="1"/>
  <c r="H10" i="1" s="1"/>
  <c r="K10" i="1" s="1"/>
  <c r="F9" i="1"/>
  <c r="H9" i="1" s="1"/>
  <c r="F8" i="1"/>
  <c r="H8" i="1" s="1"/>
  <c r="H13" i="4" l="1"/>
  <c r="G14" i="4"/>
  <c r="K14" i="4"/>
  <c r="J13" i="4"/>
  <c r="F33" i="1"/>
  <c r="H61" i="1"/>
  <c r="I61" i="1" s="1"/>
  <c r="J5" i="4"/>
  <c r="J11" i="4"/>
  <c r="I13" i="4"/>
  <c r="J3" i="4"/>
  <c r="J7" i="4"/>
  <c r="J9" i="4"/>
  <c r="J14" i="4"/>
  <c r="H4" i="4"/>
  <c r="H6" i="4"/>
  <c r="H8" i="4"/>
  <c r="H10" i="4"/>
  <c r="H12" i="4"/>
  <c r="H14" i="4"/>
  <c r="H48" i="1"/>
  <c r="I48" i="1" s="1"/>
  <c r="H55" i="1"/>
  <c r="I55" i="1" s="1"/>
  <c r="F72" i="1"/>
  <c r="H66" i="1"/>
  <c r="I66" i="1" s="1"/>
  <c r="H68" i="1"/>
  <c r="I68" i="1" s="1"/>
  <c r="H13" i="1"/>
  <c r="K13" i="1" s="1"/>
  <c r="H38" i="1"/>
  <c r="I38" i="1" s="1"/>
  <c r="H40" i="1"/>
  <c r="I40" i="1" s="1"/>
  <c r="F59" i="1"/>
  <c r="H50" i="1"/>
  <c r="I50" i="1" s="1"/>
  <c r="H52" i="1"/>
  <c r="I52" i="1" s="1"/>
  <c r="E73" i="1"/>
  <c r="H22" i="1"/>
  <c r="I22" i="1" s="1"/>
  <c r="H24" i="1"/>
  <c r="I24" i="1" s="1"/>
  <c r="H26" i="1"/>
  <c r="I26" i="1" s="1"/>
  <c r="H28" i="1"/>
  <c r="I28" i="1" s="1"/>
  <c r="H30" i="1"/>
  <c r="I30" i="1" s="1"/>
  <c r="H32" i="1"/>
  <c r="I32" i="1" s="1"/>
  <c r="G59" i="1"/>
  <c r="H54" i="1"/>
  <c r="I54" i="1" s="1"/>
  <c r="H56" i="1"/>
  <c r="I56" i="1" s="1"/>
  <c r="G72" i="1"/>
  <c r="H67" i="1"/>
  <c r="I67" i="1" s="1"/>
  <c r="F20" i="1"/>
  <c r="H21" i="1"/>
  <c r="I21" i="1" s="1"/>
  <c r="H23" i="1"/>
  <c r="I23" i="1" s="1"/>
  <c r="H25" i="1"/>
  <c r="I25" i="1" s="1"/>
  <c r="H27" i="1"/>
  <c r="I27" i="1" s="1"/>
  <c r="H29" i="1"/>
  <c r="I29" i="1" s="1"/>
  <c r="H31" i="1"/>
  <c r="I31" i="1" s="1"/>
  <c r="H35" i="1"/>
  <c r="I35" i="1" s="1"/>
  <c r="H37" i="1"/>
  <c r="I37" i="1" s="1"/>
  <c r="H39" i="1"/>
  <c r="I39" i="1" s="1"/>
  <c r="H41" i="1"/>
  <c r="I41" i="1" s="1"/>
  <c r="H43" i="1"/>
  <c r="I43" i="1" s="1"/>
  <c r="H45" i="1"/>
  <c r="I45" i="1" s="1"/>
  <c r="H60" i="1"/>
  <c r="I60" i="1" s="1"/>
  <c r="H15" i="1"/>
  <c r="I15" i="1" s="1"/>
  <c r="L15" i="1" s="1"/>
  <c r="H17" i="1"/>
  <c r="I17" i="1" s="1"/>
  <c r="L17" i="1" s="1"/>
  <c r="H19" i="1"/>
  <c r="I19" i="1" s="1"/>
  <c r="L19" i="1" s="1"/>
  <c r="H47" i="1"/>
  <c r="I47" i="1" s="1"/>
  <c r="H42" i="1"/>
  <c r="I42" i="1" s="1"/>
  <c r="H44" i="1"/>
  <c r="I44" i="1" s="1"/>
  <c r="G3" i="4"/>
  <c r="K3" i="4"/>
  <c r="I4" i="4"/>
  <c r="G5" i="4"/>
  <c r="K5" i="4"/>
  <c r="I6" i="4"/>
  <c r="G7" i="4"/>
  <c r="K7" i="4"/>
  <c r="I8" i="4"/>
  <c r="G9" i="4"/>
  <c r="K9" i="4"/>
  <c r="I10" i="4"/>
  <c r="G11" i="4"/>
  <c r="K11" i="4"/>
  <c r="I12" i="4"/>
  <c r="G13" i="4"/>
  <c r="K13" i="4"/>
  <c r="I14" i="4"/>
  <c r="H3" i="4"/>
  <c r="J4" i="4"/>
  <c r="H5" i="4"/>
  <c r="J6" i="4"/>
  <c r="H7" i="4"/>
  <c r="J8" i="4"/>
  <c r="H9" i="4"/>
  <c r="J10" i="4"/>
  <c r="H11" i="4"/>
  <c r="J12" i="4"/>
  <c r="I3" i="4"/>
  <c r="G4" i="4"/>
  <c r="K4" i="4"/>
  <c r="I5" i="4"/>
  <c r="G6" i="4"/>
  <c r="K6" i="4"/>
  <c r="I7" i="4"/>
  <c r="G8" i="4"/>
  <c r="K8" i="4"/>
  <c r="I9" i="4"/>
  <c r="G10" i="4"/>
  <c r="K10" i="4"/>
  <c r="I11" i="4"/>
  <c r="G12" i="4"/>
  <c r="K12" i="4"/>
  <c r="G46" i="1"/>
  <c r="G20" i="1"/>
  <c r="G33" i="1"/>
  <c r="H34" i="1"/>
  <c r="I11" i="1"/>
  <c r="L11" i="1" s="1"/>
  <c r="K11" i="1"/>
  <c r="I9" i="1"/>
  <c r="L9" i="1" s="1"/>
  <c r="K9" i="1"/>
  <c r="I8" i="1"/>
  <c r="L8" i="1" s="1"/>
  <c r="I10" i="1"/>
  <c r="L10" i="1" s="1"/>
  <c r="I12" i="1"/>
  <c r="L12" i="1" s="1"/>
  <c r="I14" i="1"/>
  <c r="L14" i="1" s="1"/>
  <c r="I16" i="1"/>
  <c r="L16" i="1" s="1"/>
  <c r="K8" i="1"/>
  <c r="K18" i="1"/>
  <c r="F73" i="1" l="1"/>
  <c r="I13" i="1"/>
  <c r="L13" i="1" s="1"/>
  <c r="K19" i="1"/>
  <c r="H20" i="1"/>
  <c r="H33" i="1"/>
  <c r="H59" i="1"/>
  <c r="H72" i="1"/>
  <c r="K15" i="1"/>
  <c r="H46" i="1"/>
  <c r="K17" i="1"/>
  <c r="I34" i="1"/>
  <c r="G73" i="1"/>
  <c r="H73" i="1" l="1"/>
</calcChain>
</file>

<file path=xl/sharedStrings.xml><?xml version="1.0" encoding="utf-8"?>
<sst xmlns="http://schemas.openxmlformats.org/spreadsheetml/2006/main" count="108" uniqueCount="41">
  <si>
    <t>Ціна реалізації</t>
  </si>
  <si>
    <t>ручка</t>
  </si>
  <si>
    <t>олівець</t>
  </si>
  <si>
    <t>Курс</t>
  </si>
  <si>
    <t>cумка</t>
  </si>
  <si>
    <t>яблоко</t>
  </si>
  <si>
    <t>лилия</t>
  </si>
  <si>
    <t>п/п</t>
  </si>
  <si>
    <t>Товар</t>
  </si>
  <si>
    <t>Дата закупівлі</t>
  </si>
  <si>
    <t>Ціна закупівлі</t>
  </si>
  <si>
    <t>кількість</t>
  </si>
  <si>
    <t>Сума закупівлі</t>
  </si>
  <si>
    <t>Сума реалізації</t>
  </si>
  <si>
    <t>Валовий Дохід</t>
  </si>
  <si>
    <t>$</t>
  </si>
  <si>
    <t>яблоко Итог</t>
  </si>
  <si>
    <t>cумка Итог</t>
  </si>
  <si>
    <t>лилия Итог</t>
  </si>
  <si>
    <t>олівець Итог</t>
  </si>
  <si>
    <t>ручка Итог</t>
  </si>
  <si>
    <t>Общий итог</t>
  </si>
  <si>
    <t>ц_реаліз_яблоко</t>
  </si>
  <si>
    <t>ц_реаліз_сумка</t>
  </si>
  <si>
    <t>ц_реаліз_лилия</t>
  </si>
  <si>
    <t>Результат:</t>
  </si>
  <si>
    <t>закупка</t>
  </si>
  <si>
    <t>середня ціна</t>
  </si>
  <si>
    <t>Автор: laptop , 18.09.2018
Автор изменений: Сівченко Олександр Олександрович , 20.09.2018</t>
  </si>
  <si>
    <t>Структура сценария</t>
  </si>
  <si>
    <t>Изменяемые:</t>
  </si>
  <si>
    <t>Текущие значения:</t>
  </si>
  <si>
    <t xml:space="preserve">Примечания: столбец ''Текущие значения'' представляет значения изменяемых ячеек в </t>
  </si>
  <si>
    <t>момент создания Итогового отчета по Сценарию. Изменяемые ячейки для каждого</t>
  </si>
  <si>
    <t>сценария выделены серым цветом.</t>
  </si>
  <si>
    <t>яблокоИтог</t>
  </si>
  <si>
    <t>сумкаИтог</t>
  </si>
  <si>
    <t>лилияИтог</t>
  </si>
  <si>
    <t>олівецьИтог</t>
  </si>
  <si>
    <t>ручкаИтог</t>
  </si>
  <si>
    <t>общийИтог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</si>
</sst>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\ &quot;₴&quot;"/>
    <numFmt numFmtId="165" formatCode="_-[$$-C09]* #,##0.00_-;\-[$$-C09]* #,##0.00_-;_-[$$-C09]* &quot;-&quot;??_-;_-@_-"/>
    <numFmt numFmtId="166" formatCode="#,##0&quot; шт&quot;"/>
    <numFmt numFmtId="167" formatCode="#,##0\ _₴;[Blue]\-#,##0\ _₴"/>
    <numFmt numFmtId="168" formatCode="mmmm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Calibri"/>
      <family val="2"/>
      <charset val="1"/>
      <scheme val="minor"/>
    </font>
    <font>
      <sz val="10"/>
      <color indexed="9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4"/>
      <color theme="1"/>
      <name val="Calibri"/>
      <family val="2"/>
      <charset val="1"/>
      <scheme val="minor"/>
    </font>
    <font>
      <sz val="11"/>
      <color rgb="FF000000"/>
      <name val="Calibri"/>
      <family val="2"/>
      <charset val="204"/>
    </font>
    <font>
      <b/>
      <sz val="12"/>
      <color indexed="9"/>
      <name val="Calibri"/>
      <family val="2"/>
      <charset val="204"/>
      <scheme val="minor"/>
    </font>
    <font>
      <b/>
      <sz val="11"/>
      <color indexed="8"/>
      <name val="Calibri"/>
      <family val="2"/>
      <charset val="204"/>
      <scheme val="minor"/>
    </font>
    <font>
      <b/>
      <sz val="11"/>
      <color indexed="1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164" fontId="2" fillId="0" borderId="3" xfId="0" applyNumberFormat="1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4" fontId="2" fillId="0" borderId="4" xfId="0" applyNumberFormat="1" applyFont="1" applyBorder="1"/>
    <xf numFmtId="0" fontId="1" fillId="0" borderId="4" xfId="0" applyFont="1" applyBorder="1"/>
    <xf numFmtId="165" fontId="0" fillId="0" borderId="4" xfId="0" applyNumberFormat="1" applyBorder="1"/>
    <xf numFmtId="0" fontId="0" fillId="0" borderId="1" xfId="0" applyBorder="1"/>
    <xf numFmtId="0" fontId="2" fillId="0" borderId="5" xfId="0" applyFont="1" applyBorder="1" applyAlignment="1">
      <alignment horizontal="center"/>
    </xf>
    <xf numFmtId="0" fontId="2" fillId="0" borderId="5" xfId="0" applyFont="1" applyBorder="1"/>
    <xf numFmtId="164" fontId="2" fillId="0" borderId="5" xfId="0" applyNumberFormat="1" applyFont="1" applyBorder="1"/>
    <xf numFmtId="0" fontId="0" fillId="0" borderId="6" xfId="0" applyBorder="1"/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17" fontId="0" fillId="0" borderId="3" xfId="0" applyNumberFormat="1" applyBorder="1"/>
    <xf numFmtId="164" fontId="0" fillId="0" borderId="3" xfId="0" applyNumberFormat="1" applyBorder="1"/>
    <xf numFmtId="166" fontId="0" fillId="0" borderId="3" xfId="0" applyNumberFormat="1" applyBorder="1"/>
    <xf numFmtId="164" fontId="0" fillId="0" borderId="4" xfId="0" applyNumberFormat="1" applyBorder="1"/>
    <xf numFmtId="165" fontId="0" fillId="0" borderId="3" xfId="0" applyNumberFormat="1" applyBorder="1" applyAlignment="1">
      <alignment horizontal="center" vertical="center"/>
    </xf>
    <xf numFmtId="0" fontId="0" fillId="0" borderId="9" xfId="0" applyBorder="1"/>
    <xf numFmtId="164" fontId="0" fillId="0" borderId="10" xfId="0" applyNumberFormat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17" fontId="0" fillId="0" borderId="4" xfId="0" applyNumberFormat="1" applyBorder="1"/>
    <xf numFmtId="166" fontId="0" fillId="0" borderId="4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Fill="1" applyBorder="1" applyAlignment="1"/>
    <xf numFmtId="164" fontId="0" fillId="0" borderId="0" xfId="0" applyNumberFormat="1" applyFill="1" applyBorder="1" applyAlignment="1"/>
    <xf numFmtId="164" fontId="0" fillId="0" borderId="6" xfId="0" applyNumberFormat="1" applyFill="1" applyBorder="1" applyAlignment="1"/>
    <xf numFmtId="0" fontId="0" fillId="0" borderId="12" xfId="0" applyFill="1" applyBorder="1" applyAlignment="1"/>
    <xf numFmtId="0" fontId="5" fillId="2" borderId="11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right"/>
    </xf>
    <xf numFmtId="164" fontId="0" fillId="4" borderId="0" xfId="0" applyNumberFormat="1" applyFill="1" applyBorder="1" applyAlignment="1"/>
    <xf numFmtId="0" fontId="6" fillId="0" borderId="0" xfId="0" applyFont="1" applyFill="1" applyBorder="1" applyAlignment="1">
      <alignment vertical="top" wrapText="1"/>
    </xf>
    <xf numFmtId="0" fontId="3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 vertical="center" shrinkToFit="1"/>
    </xf>
    <xf numFmtId="17" fontId="7" fillId="0" borderId="4" xfId="0" applyNumberFormat="1" applyFont="1" applyBorder="1" applyAlignment="1">
      <alignment horizontal="center" vertical="center" shrinkToFit="1"/>
    </xf>
    <xf numFmtId="164" fontId="7" fillId="0" borderId="4" xfId="0" applyNumberFormat="1" applyFont="1" applyBorder="1" applyAlignment="1">
      <alignment horizontal="center" vertical="center" shrinkToFit="1"/>
    </xf>
    <xf numFmtId="166" fontId="7" fillId="0" borderId="4" xfId="0" applyNumberFormat="1" applyFont="1" applyBorder="1" applyAlignment="1">
      <alignment horizontal="center" vertical="center" shrinkToFit="1"/>
    </xf>
    <xf numFmtId="0" fontId="7" fillId="0" borderId="4" xfId="0" applyFont="1" applyBorder="1" applyAlignment="1">
      <alignment horizontal="right" vertical="center" shrinkToFit="1"/>
    </xf>
    <xf numFmtId="1" fontId="7" fillId="0" borderId="4" xfId="0" applyNumberFormat="1" applyFont="1" applyBorder="1" applyAlignment="1">
      <alignment horizontal="right" vertical="center" shrinkToFit="1"/>
    </xf>
    <xf numFmtId="1" fontId="7" fillId="0" borderId="4" xfId="0" applyNumberFormat="1" applyFont="1" applyBorder="1" applyAlignment="1">
      <alignment shrinkToFit="1"/>
    </xf>
    <xf numFmtId="164" fontId="0" fillId="0" borderId="0" xfId="0" applyNumberFormat="1"/>
    <xf numFmtId="0" fontId="9" fillId="2" borderId="8" xfId="0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0" fontId="10" fillId="3" borderId="0" xfId="0" applyFont="1" applyFill="1" applyBorder="1" applyAlignment="1">
      <alignment horizontal="left"/>
    </xf>
    <xf numFmtId="0" fontId="11" fillId="3" borderId="12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17" fontId="0" fillId="0" borderId="13" xfId="0" applyNumberFormat="1" applyBorder="1"/>
    <xf numFmtId="164" fontId="0" fillId="0" borderId="13" xfId="0" applyNumberFormat="1" applyBorder="1"/>
    <xf numFmtId="166" fontId="0" fillId="0" borderId="13" xfId="0" applyNumberFormat="1" applyBorder="1"/>
    <xf numFmtId="164" fontId="0" fillId="0" borderId="9" xfId="0" applyNumberFormat="1" applyBorder="1"/>
    <xf numFmtId="165" fontId="0" fillId="0" borderId="9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4" fillId="0" borderId="15" xfId="0" applyFont="1" applyBorder="1" applyAlignment="1">
      <alignment horizontal="left"/>
    </xf>
    <xf numFmtId="17" fontId="0" fillId="0" borderId="15" xfId="0" applyNumberFormat="1" applyBorder="1"/>
    <xf numFmtId="164" fontId="0" fillId="0" borderId="15" xfId="0" applyNumberFormat="1" applyBorder="1"/>
    <xf numFmtId="166" fontId="0" fillId="0" borderId="15" xfId="0" applyNumberFormat="1" applyBorder="1"/>
    <xf numFmtId="167" fontId="0" fillId="0" borderId="7" xfId="0" applyNumberFormat="1" applyBorder="1"/>
    <xf numFmtId="165" fontId="0" fillId="0" borderId="7" xfId="0" applyNumberFormat="1" applyBorder="1" applyAlignment="1">
      <alignment horizontal="center" vertical="center"/>
    </xf>
    <xf numFmtId="0" fontId="0" fillId="0" borderId="16" xfId="0" applyBorder="1" applyAlignment="1">
      <alignment horizontal="center"/>
    </xf>
    <xf numFmtId="164" fontId="0" fillId="0" borderId="17" xfId="0" applyNumberFormat="1" applyBorder="1"/>
    <xf numFmtId="166" fontId="0" fillId="0" borderId="17" xfId="0" applyNumberFormat="1" applyBorder="1"/>
    <xf numFmtId="165" fontId="0" fillId="0" borderId="18" xfId="0" applyNumberForma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4" fillId="0" borderId="5" xfId="0" applyFont="1" applyBorder="1" applyAlignment="1">
      <alignment horizontal="left"/>
    </xf>
    <xf numFmtId="17" fontId="0" fillId="0" borderId="5" xfId="0" applyNumberFormat="1" applyBorder="1"/>
    <xf numFmtId="164" fontId="0" fillId="0" borderId="5" xfId="0" applyNumberFormat="1" applyBorder="1"/>
    <xf numFmtId="166" fontId="0" fillId="0" borderId="5" xfId="0" applyNumberFormat="1" applyBorder="1"/>
    <xf numFmtId="165" fontId="0" fillId="0" borderId="20" xfId="0" applyNumberFormat="1" applyBorder="1" applyAlignment="1">
      <alignment horizontal="center" vertical="center"/>
    </xf>
    <xf numFmtId="168" fontId="7" fillId="0" borderId="4" xfId="0" applyNumberFormat="1" applyFont="1" applyBorder="1" applyAlignment="1">
      <alignment horizontal="center"/>
    </xf>
    <xf numFmtId="0" fontId="1" fillId="0" borderId="17" xfId="0" applyFont="1" applyBorder="1" applyAlignment="1">
      <alignment horizontal="left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ln w="0"/>
                <a:solidFill>
                  <a:schemeClr val="tx1"/>
                </a:solidFill>
                <a:effectLst/>
                <a:latin typeface="+mj-lt"/>
                <a:ea typeface="+mj-ea"/>
                <a:cs typeface="+mj-cs"/>
              </a:defRPr>
            </a:pPr>
            <a:r>
              <a:rPr lang="ru-RU" sz="1800" b="1" i="0" baseline="0">
                <a:effectLst/>
              </a:rPr>
              <a:t>Валовий Дохід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Яблоко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ln w="0"/>
              <a:solidFill>
                <a:schemeClr val="tx1"/>
              </a:solidFill>
              <a:effectLst/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  <c:perspective val="5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[1]Лист1!$C$7</c:f>
              <c:strCache>
                <c:ptCount val="1"/>
                <c:pt idx="0">
                  <c:v>Дата закупівлі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EDB-44AD-92A8-70C0DDF8FBE0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EDB-44AD-92A8-70C0DDF8FBE0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EDB-44AD-92A8-70C0DDF8FBE0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EDB-44AD-92A8-70C0DDF8FBE0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EDB-44AD-92A8-70C0DDF8FBE0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EDB-44AD-92A8-70C0DDF8FBE0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EDB-44AD-92A8-70C0DDF8FBE0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EDB-44AD-92A8-70C0DDF8FBE0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EDB-44AD-92A8-70C0DDF8FBE0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EDB-44AD-92A8-70C0DDF8FBE0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3EDB-44AD-92A8-70C0DDF8FBE0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3EDB-44AD-92A8-70C0DDF8FB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spc="0" baseline="0">
                    <a:ln w="0"/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Аркуш1!$C$8:$C$19</c15:sqref>
                  </c15:fullRef>
                </c:ext>
              </c:extLst>
              <c:f>Аркуш1!$C$8:$C$19</c:f>
              <c:numCache>
                <c:formatCode>mmm\-yy</c:formatCode>
                <c:ptCount val="12"/>
                <c:pt idx="0">
                  <c:v>43104</c:v>
                </c:pt>
                <c:pt idx="1">
                  <c:v>43135</c:v>
                </c:pt>
                <c:pt idx="2">
                  <c:v>43163</c:v>
                </c:pt>
                <c:pt idx="3">
                  <c:v>43194</c:v>
                </c:pt>
                <c:pt idx="4">
                  <c:v>43224</c:v>
                </c:pt>
                <c:pt idx="5">
                  <c:v>43255</c:v>
                </c:pt>
                <c:pt idx="6">
                  <c:v>43285</c:v>
                </c:pt>
                <c:pt idx="7">
                  <c:v>43316</c:v>
                </c:pt>
                <c:pt idx="8">
                  <c:v>43347</c:v>
                </c:pt>
                <c:pt idx="9">
                  <c:v>43377</c:v>
                </c:pt>
                <c:pt idx="10">
                  <c:v>43408</c:v>
                </c:pt>
                <c:pt idx="11">
                  <c:v>43438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[1]Лист1!$H$8:$H$21</c15:sqref>
                  </c15:fullRef>
                </c:ext>
              </c:extLst>
              <c:f>[1]Лист1!$H$8:$H$19</c:f>
              <c:numCache>
                <c:formatCode>General</c:formatCode>
                <c:ptCount val="12"/>
                <c:pt idx="0">
                  <c:v>44</c:v>
                </c:pt>
                <c:pt idx="1">
                  <c:v>90</c:v>
                </c:pt>
                <c:pt idx="2">
                  <c:v>285</c:v>
                </c:pt>
                <c:pt idx="3">
                  <c:v>299</c:v>
                </c:pt>
                <c:pt idx="4">
                  <c:v>108</c:v>
                </c:pt>
                <c:pt idx="5">
                  <c:v>93</c:v>
                </c:pt>
                <c:pt idx="6">
                  <c:v>280</c:v>
                </c:pt>
                <c:pt idx="7">
                  <c:v>78</c:v>
                </c:pt>
                <c:pt idx="8">
                  <c:v>516</c:v>
                </c:pt>
                <c:pt idx="9">
                  <c:v>188</c:v>
                </c:pt>
                <c:pt idx="10">
                  <c:v>459</c:v>
                </c:pt>
                <c:pt idx="11">
                  <c:v>385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C-3EDB-44AD-92A8-70C0DDF8FBE0}"/>
            </c:ext>
            <c:ext xmlns:c15="http://schemas.microsoft.com/office/drawing/2012/chart" uri="{02D57815-91ED-43cb-92C2-25804820EDAC}">
              <c15:categoryFilterExceptions>
                <c15:categoryFilterException>
                  <c15:sqref>[1]Лист1!$H$20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80000"/>
                            <a:lumOff val="20000"/>
                            <a:lumMod val="60000"/>
                            <a:lumOff val="40000"/>
                          </a:schemeClr>
                        </a:gs>
                        <a:gs pos="0">
                          <a:schemeClr val="accent1">
                            <a:lumMod val="80000"/>
                            <a:lumOff val="20000"/>
                          </a:schemeClr>
                        </a:gs>
                      </a:gsLst>
                      <a:lin ang="5400000" scaled="0"/>
                    </a:gradFill>
                    <a:ln w="50800"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[1]Лист1!$H$21</c15:sqref>
                  <c15:spPr xmlns:c15="http://schemas.microsoft.com/office/drawing/2012/chart">
                    <a:gradFill>
                      <a:gsLst>
                        <a:gs pos="100000">
                          <a:schemeClr val="accent2">
                            <a:lumMod val="80000"/>
                            <a:lumOff val="20000"/>
                            <a:lumMod val="60000"/>
                            <a:lumOff val="40000"/>
                          </a:schemeClr>
                        </a:gs>
                        <a:gs pos="0">
                          <a:schemeClr val="accent2">
                            <a:lumMod val="80000"/>
                            <a:lumOff val="20000"/>
                          </a:schemeClr>
                        </a:gs>
                      </a:gsLst>
                      <a:lin ang="5400000" scaled="0"/>
                    </a:gradFill>
                    <a:ln w="50800">
                      <a:noFill/>
                    </a:ln>
                    <a:effectLst/>
                    <a:sp3d/>
                  </c15:spPr>
                  <c15:bubble3D val="0"/>
                </c15:categoryFilterException>
              </c15:categoryFilterExceptions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397167976364561"/>
          <c:y val="0.19175692997212743"/>
          <c:w val="0.12441806273590972"/>
          <c:h val="0.7847230870862417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cap="none" spc="0" baseline="0">
              <a:ln w="0"/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1" cap="none" spc="0">
          <a:ln w="0"/>
          <a:solidFill>
            <a:schemeClr val="tx1"/>
          </a:solidFill>
          <a:effectLst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ln w="0"/>
                <a:solidFill>
                  <a:schemeClr val="tx1"/>
                </a:solidFill>
                <a:effectLst/>
                <a:latin typeface="+mj-lt"/>
                <a:ea typeface="+mj-ea"/>
                <a:cs typeface="+mj-cs"/>
              </a:defRPr>
            </a:pPr>
            <a:r>
              <a:rPr lang="ru-RU" sz="1800" b="1" i="0" baseline="0">
                <a:effectLst/>
              </a:rPr>
              <a:t>Валовий Дохід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Сумка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ln w="0"/>
              <a:solidFill>
                <a:schemeClr val="tx1"/>
              </a:solidFill>
              <a:effectLst/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  <c:perspective val="5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Аркуш1!$H$7</c:f>
              <c:strCache>
                <c:ptCount val="1"/>
                <c:pt idx="0">
                  <c:v>Валовий Дохід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E33-4C4C-B891-FCFD6414AD70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E33-4C4C-B891-FCFD6414AD70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E33-4C4C-B891-FCFD6414AD70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E33-4C4C-B891-FCFD6414AD70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E33-4C4C-B891-FCFD6414AD70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E33-4C4C-B891-FCFD6414AD70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E33-4C4C-B891-FCFD6414AD70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E33-4C4C-B891-FCFD6414AD70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CE33-4C4C-B891-FCFD6414AD70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CE33-4C4C-B891-FCFD6414AD70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CE33-4C4C-B891-FCFD6414AD70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50800">
                <a:noFill/>
              </a:ln>
              <a:effectLst/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CE33-4C4C-B891-FCFD6414AD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spc="0" baseline="0">
                    <a:ln w="0"/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Аркуш1!$C$21:$C$32</c:f>
              <c:numCache>
                <c:formatCode>mmm\-yy</c:formatCode>
                <c:ptCount val="12"/>
                <c:pt idx="0">
                  <c:v>43103</c:v>
                </c:pt>
                <c:pt idx="1">
                  <c:v>43134</c:v>
                </c:pt>
                <c:pt idx="2">
                  <c:v>43162</c:v>
                </c:pt>
                <c:pt idx="3">
                  <c:v>43193</c:v>
                </c:pt>
                <c:pt idx="4">
                  <c:v>43223</c:v>
                </c:pt>
                <c:pt idx="5">
                  <c:v>43254</c:v>
                </c:pt>
                <c:pt idx="6">
                  <c:v>43284</c:v>
                </c:pt>
                <c:pt idx="7">
                  <c:v>43315</c:v>
                </c:pt>
                <c:pt idx="8">
                  <c:v>43346</c:v>
                </c:pt>
                <c:pt idx="9">
                  <c:v>43376</c:v>
                </c:pt>
                <c:pt idx="10">
                  <c:v>43407</c:v>
                </c:pt>
                <c:pt idx="11">
                  <c:v>43437</c:v>
                </c:pt>
              </c:numCache>
            </c:numRef>
          </c:cat>
          <c:val>
            <c:numRef>
              <c:f>Аркуш1!$H$21:$H$32</c:f>
              <c:numCache>
                <c:formatCode>#\ ##0.00\ "₴"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60</c:v>
                </c:pt>
                <c:pt idx="3">
                  <c:v>98</c:v>
                </c:pt>
                <c:pt idx="4">
                  <c:v>198</c:v>
                </c:pt>
                <c:pt idx="5">
                  <c:v>319</c:v>
                </c:pt>
                <c:pt idx="6">
                  <c:v>156</c:v>
                </c:pt>
                <c:pt idx="7">
                  <c:v>345</c:v>
                </c:pt>
                <c:pt idx="8">
                  <c:v>340</c:v>
                </c:pt>
                <c:pt idx="9">
                  <c:v>513</c:v>
                </c:pt>
                <c:pt idx="10">
                  <c:v>504</c:v>
                </c:pt>
                <c:pt idx="11">
                  <c:v>575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8-CE33-4C4C-B891-FCFD6414AD70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397167976364561"/>
          <c:y val="0.19175692997212743"/>
          <c:w val="0.12441806273590972"/>
          <c:h val="0.7847230870862417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cap="none" spc="0" baseline="0">
              <a:ln w="0"/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1" cap="none" spc="0">
          <a:ln w="0"/>
          <a:solidFill>
            <a:schemeClr val="tx1"/>
          </a:solidFill>
          <a:effectLst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ln w="0"/>
                <a:solidFill>
                  <a:schemeClr val="tx1"/>
                </a:solidFill>
                <a:effectLst/>
                <a:latin typeface="+mj-lt"/>
                <a:ea typeface="+mj-ea"/>
                <a:cs typeface="+mj-cs"/>
              </a:defRPr>
            </a:pPr>
            <a:r>
              <a:rPr lang="ru-RU" sz="1800" b="1" i="0" baseline="0">
                <a:effectLst/>
              </a:rPr>
              <a:t>Валовий Дохід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Лилия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ln w="0"/>
              <a:solidFill>
                <a:schemeClr val="tx1"/>
              </a:solidFill>
              <a:effectLst/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  <c:perspective val="5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Аркуш1!$H$7</c:f>
              <c:strCache>
                <c:ptCount val="1"/>
                <c:pt idx="0">
                  <c:v>Валовий Дохід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5A-4D7F-B3E1-984D5BC61CEE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5A-4D7F-B3E1-984D5BC61CEE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5A-4D7F-B3E1-984D5BC61CEE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25A-4D7F-B3E1-984D5BC61CEE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25A-4D7F-B3E1-984D5BC61CEE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25A-4D7F-B3E1-984D5BC61CEE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225A-4D7F-B3E1-984D5BC61CEE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225A-4D7F-B3E1-984D5BC61CEE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225A-4D7F-B3E1-984D5BC61CEE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225A-4D7F-B3E1-984D5BC61CEE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225A-4D7F-B3E1-984D5BC61CEE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225A-4D7F-B3E1-984D5BC61C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spc="0" baseline="0">
                    <a:ln w="0"/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Аркуш1!$C$34:$C$45</c:f>
              <c:numCache>
                <c:formatCode>mmm\-yy</c:formatCode>
                <c:ptCount val="12"/>
                <c:pt idx="0">
                  <c:v>43105</c:v>
                </c:pt>
                <c:pt idx="1">
                  <c:v>43136</c:v>
                </c:pt>
                <c:pt idx="2">
                  <c:v>43164</c:v>
                </c:pt>
                <c:pt idx="3">
                  <c:v>43195</c:v>
                </c:pt>
                <c:pt idx="4">
                  <c:v>43225</c:v>
                </c:pt>
                <c:pt idx="5">
                  <c:v>43256</c:v>
                </c:pt>
                <c:pt idx="6">
                  <c:v>43286</c:v>
                </c:pt>
                <c:pt idx="7">
                  <c:v>43317</c:v>
                </c:pt>
                <c:pt idx="8">
                  <c:v>43348</c:v>
                </c:pt>
                <c:pt idx="9">
                  <c:v>43378</c:v>
                </c:pt>
                <c:pt idx="10">
                  <c:v>43409</c:v>
                </c:pt>
                <c:pt idx="11">
                  <c:v>43439</c:v>
                </c:pt>
              </c:numCache>
            </c:numRef>
          </c:cat>
          <c:val>
            <c:numRef>
              <c:f>Аркуш1!$H$34:$H$45</c:f>
              <c:numCache>
                <c:formatCode>#\ ##0.00\ "₴"</c:formatCode>
                <c:ptCount val="12"/>
                <c:pt idx="0">
                  <c:v>30</c:v>
                </c:pt>
                <c:pt idx="1">
                  <c:v>60</c:v>
                </c:pt>
                <c:pt idx="2">
                  <c:v>51</c:v>
                </c:pt>
                <c:pt idx="3">
                  <c:v>18</c:v>
                </c:pt>
                <c:pt idx="4">
                  <c:v>45</c:v>
                </c:pt>
                <c:pt idx="5">
                  <c:v>9</c:v>
                </c:pt>
                <c:pt idx="6">
                  <c:v>6</c:v>
                </c:pt>
                <c:pt idx="7">
                  <c:v>30</c:v>
                </c:pt>
                <c:pt idx="8">
                  <c:v>18</c:v>
                </c:pt>
                <c:pt idx="9">
                  <c:v>19</c:v>
                </c:pt>
                <c:pt idx="10">
                  <c:v>60</c:v>
                </c:pt>
                <c:pt idx="11">
                  <c:v>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8-225A-4D7F-B3E1-984D5BC61CEE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397167976364561"/>
          <c:y val="0.19175692997212743"/>
          <c:w val="0.12441806273590972"/>
          <c:h val="0.7847230870862417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cap="none" spc="0" baseline="0">
              <a:ln w="0"/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1" cap="none" spc="0">
          <a:ln w="0"/>
          <a:solidFill>
            <a:schemeClr val="tx1"/>
          </a:solidFill>
          <a:effectLst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38184282129098E-2"/>
          <c:y val="3.7627602553397796E-2"/>
          <c:w val="0.69724332865009575"/>
          <c:h val="0.68076871279661699"/>
        </c:manualLayout>
      </c:layout>
      <c:lineChart>
        <c:grouping val="standard"/>
        <c:varyColors val="0"/>
        <c:ser>
          <c:idx val="0"/>
          <c:order val="0"/>
          <c:tx>
            <c:strRef>
              <c:f>[1]Лист2!$B$1:$B$2</c:f>
              <c:strCache>
                <c:ptCount val="1"/>
                <c:pt idx="0">
                  <c:v>закупка яблоко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[1]Лист2!$B$3:$B$14</c:f>
              <c:numCache>
                <c:formatCode>General</c:formatCode>
                <c:ptCount val="12"/>
                <c:pt idx="0">
                  <c:v>23</c:v>
                </c:pt>
                <c:pt idx="1">
                  <c:v>21</c:v>
                </c:pt>
                <c:pt idx="2">
                  <c:v>12</c:v>
                </c:pt>
                <c:pt idx="3">
                  <c:v>14</c:v>
                </c:pt>
                <c:pt idx="4">
                  <c:v>23</c:v>
                </c:pt>
                <c:pt idx="5">
                  <c:v>24</c:v>
                </c:pt>
                <c:pt idx="6">
                  <c:v>19</c:v>
                </c:pt>
                <c:pt idx="7">
                  <c:v>25</c:v>
                </c:pt>
                <c:pt idx="8">
                  <c:v>15</c:v>
                </c:pt>
                <c:pt idx="9">
                  <c:v>23</c:v>
                </c:pt>
                <c:pt idx="10">
                  <c:v>18</c:v>
                </c:pt>
                <c:pt idx="11">
                  <c:v>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6FF-4DE4-BC5B-D2BD8ACB226A}"/>
            </c:ext>
          </c:extLst>
        </c:ser>
        <c:ser>
          <c:idx val="1"/>
          <c:order val="1"/>
          <c:tx>
            <c:strRef>
              <c:f>[1]Лист2!$C$1:$C$2</c:f>
              <c:strCache>
                <c:ptCount val="1"/>
                <c:pt idx="0">
                  <c:v>закупка cумка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[1]Лист2!$C$3:$C$14</c:f>
              <c:numCache>
                <c:formatCode>General</c:formatCode>
                <c:ptCount val="12"/>
                <c:pt idx="0">
                  <c:v>83</c:v>
                </c:pt>
                <c:pt idx="1">
                  <c:v>84</c:v>
                </c:pt>
                <c:pt idx="2">
                  <c:v>73</c:v>
                </c:pt>
                <c:pt idx="3">
                  <c:v>71</c:v>
                </c:pt>
                <c:pt idx="4">
                  <c:v>63</c:v>
                </c:pt>
                <c:pt idx="5">
                  <c:v>56</c:v>
                </c:pt>
                <c:pt idx="6">
                  <c:v>73</c:v>
                </c:pt>
                <c:pt idx="7">
                  <c:v>62</c:v>
                </c:pt>
                <c:pt idx="8">
                  <c:v>65</c:v>
                </c:pt>
                <c:pt idx="9">
                  <c:v>58</c:v>
                </c:pt>
                <c:pt idx="10">
                  <c:v>61</c:v>
                </c:pt>
                <c:pt idx="11">
                  <c:v>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6FF-4DE4-BC5B-D2BD8ACB226A}"/>
            </c:ext>
          </c:extLst>
        </c:ser>
        <c:ser>
          <c:idx val="2"/>
          <c:order val="2"/>
          <c:tx>
            <c:strRef>
              <c:f>[1]Лист2!$D$1:$D$2</c:f>
              <c:strCache>
                <c:ptCount val="1"/>
                <c:pt idx="0">
                  <c:v>закупка лилия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[1]Лист2!$D$3:$D$14</c:f>
              <c:numCache>
                <c:formatCode>General</c:formatCode>
                <c:ptCount val="12"/>
                <c:pt idx="0">
                  <c:v>26</c:v>
                </c:pt>
                <c:pt idx="1">
                  <c:v>24</c:v>
                </c:pt>
                <c:pt idx="2">
                  <c:v>19</c:v>
                </c:pt>
                <c:pt idx="3">
                  <c:v>18</c:v>
                </c:pt>
                <c:pt idx="4">
                  <c:v>21</c:v>
                </c:pt>
                <c:pt idx="5">
                  <c:v>27</c:v>
                </c:pt>
                <c:pt idx="6">
                  <c:v>24</c:v>
                </c:pt>
                <c:pt idx="7">
                  <c:v>26</c:v>
                </c:pt>
                <c:pt idx="8">
                  <c:v>18</c:v>
                </c:pt>
                <c:pt idx="9">
                  <c:v>17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6FF-4DE4-BC5B-D2BD8ACB226A}"/>
            </c:ext>
          </c:extLst>
        </c:ser>
        <c:ser>
          <c:idx val="3"/>
          <c:order val="3"/>
          <c:tx>
            <c:strRef>
              <c:f>[1]Лист2!$E$1:$E$2</c:f>
              <c:strCache>
                <c:ptCount val="1"/>
                <c:pt idx="0">
                  <c:v>закупка олівець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[1]Лист2!$E$3:$E$14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6FF-4DE4-BC5B-D2BD8ACB226A}"/>
            </c:ext>
          </c:extLst>
        </c:ser>
        <c:ser>
          <c:idx val="4"/>
          <c:order val="4"/>
          <c:tx>
            <c:strRef>
              <c:f>[1]Лист2!$F$1:$F$2</c:f>
              <c:strCache>
                <c:ptCount val="1"/>
                <c:pt idx="0">
                  <c:v>закупка ручка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[1]Лист2!$F$3:$F$14</c:f>
              <c:numCache>
                <c:formatCode>General</c:formatCode>
                <c:ptCount val="12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7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6FF-4DE4-BC5B-D2BD8ACB226A}"/>
            </c:ext>
          </c:extLst>
        </c:ser>
        <c:ser>
          <c:idx val="5"/>
          <c:order val="5"/>
          <c:tx>
            <c:strRef>
              <c:f>[1]Лист2!$G$1:$G$2</c:f>
              <c:strCache>
                <c:ptCount val="1"/>
                <c:pt idx="0">
                  <c:v>середня ціна яблоко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[1]Лист2!$G$3:$G$14</c:f>
              <c:numCache>
                <c:formatCode>General</c:formatCode>
                <c:ptCount val="12"/>
                <c:pt idx="0">
                  <c:v>19.75</c:v>
                </c:pt>
                <c:pt idx="1">
                  <c:v>19.75</c:v>
                </c:pt>
                <c:pt idx="2">
                  <c:v>19.75</c:v>
                </c:pt>
                <c:pt idx="3">
                  <c:v>19.75</c:v>
                </c:pt>
                <c:pt idx="4">
                  <c:v>19.75</c:v>
                </c:pt>
                <c:pt idx="5">
                  <c:v>19.75</c:v>
                </c:pt>
                <c:pt idx="6">
                  <c:v>19.75</c:v>
                </c:pt>
                <c:pt idx="7">
                  <c:v>19.75</c:v>
                </c:pt>
                <c:pt idx="8">
                  <c:v>19.75</c:v>
                </c:pt>
                <c:pt idx="9">
                  <c:v>19.75</c:v>
                </c:pt>
                <c:pt idx="10">
                  <c:v>19.75</c:v>
                </c:pt>
                <c:pt idx="11">
                  <c:v>19.75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6FF-4DE4-BC5B-D2BD8ACB226A}"/>
            </c:ext>
          </c:extLst>
        </c:ser>
        <c:ser>
          <c:idx val="6"/>
          <c:order val="6"/>
          <c:tx>
            <c:strRef>
              <c:f>[1]Лист2!$H$1:$H$2</c:f>
              <c:strCache>
                <c:ptCount val="1"/>
                <c:pt idx="0">
                  <c:v>середня ціна cумка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[1]Лист2!$H$3:$H$14</c:f>
              <c:numCache>
                <c:formatCode>General</c:formatCode>
                <c:ptCount val="12"/>
                <c:pt idx="0">
                  <c:v>67.416666666666671</c:v>
                </c:pt>
                <c:pt idx="1">
                  <c:v>67.416666666666671</c:v>
                </c:pt>
                <c:pt idx="2">
                  <c:v>67.416666666666671</c:v>
                </c:pt>
                <c:pt idx="3">
                  <c:v>67.416666666666671</c:v>
                </c:pt>
                <c:pt idx="4">
                  <c:v>67.416666666666671</c:v>
                </c:pt>
                <c:pt idx="5">
                  <c:v>67.416666666666671</c:v>
                </c:pt>
                <c:pt idx="6">
                  <c:v>67.416666666666671</c:v>
                </c:pt>
                <c:pt idx="7">
                  <c:v>67.416666666666671</c:v>
                </c:pt>
                <c:pt idx="8">
                  <c:v>67.416666666666671</c:v>
                </c:pt>
                <c:pt idx="9">
                  <c:v>67.416666666666671</c:v>
                </c:pt>
                <c:pt idx="10">
                  <c:v>67.416666666666671</c:v>
                </c:pt>
                <c:pt idx="11">
                  <c:v>67.416666666666671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A6FF-4DE4-BC5B-D2BD8ACB226A}"/>
            </c:ext>
          </c:extLst>
        </c:ser>
        <c:ser>
          <c:idx val="7"/>
          <c:order val="7"/>
          <c:tx>
            <c:strRef>
              <c:f>[1]Лист2!$I$1:$I$2</c:f>
              <c:strCache>
                <c:ptCount val="1"/>
                <c:pt idx="0">
                  <c:v>середня ціна лилия</c:v>
                </c:pt>
              </c:strCache>
            </c:strRef>
          </c:tx>
          <c:spPr>
            <a:ln w="22225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[1]Лист2!$I$3:$I$14</c:f>
              <c:numCache>
                <c:formatCode>General</c:formatCode>
                <c:ptCount val="12"/>
                <c:pt idx="0">
                  <c:v>22.333333333333332</c:v>
                </c:pt>
                <c:pt idx="1">
                  <c:v>22.333333333333332</c:v>
                </c:pt>
                <c:pt idx="2">
                  <c:v>22.333333333333332</c:v>
                </c:pt>
                <c:pt idx="3">
                  <c:v>22.333333333333332</c:v>
                </c:pt>
                <c:pt idx="4">
                  <c:v>22.333333333333332</c:v>
                </c:pt>
                <c:pt idx="5">
                  <c:v>22.333333333333332</c:v>
                </c:pt>
                <c:pt idx="6">
                  <c:v>22.333333333333332</c:v>
                </c:pt>
                <c:pt idx="7">
                  <c:v>22.333333333333332</c:v>
                </c:pt>
                <c:pt idx="8">
                  <c:v>22.333333333333332</c:v>
                </c:pt>
                <c:pt idx="9">
                  <c:v>22.333333333333332</c:v>
                </c:pt>
                <c:pt idx="10">
                  <c:v>22.333333333333332</c:v>
                </c:pt>
                <c:pt idx="11">
                  <c:v>22.333333333333332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A6FF-4DE4-BC5B-D2BD8ACB226A}"/>
            </c:ext>
          </c:extLst>
        </c:ser>
        <c:ser>
          <c:idx val="8"/>
          <c:order val="8"/>
          <c:tx>
            <c:strRef>
              <c:f>[1]Лист2!$J$1:$J$2</c:f>
              <c:strCache>
                <c:ptCount val="1"/>
                <c:pt idx="0">
                  <c:v>середня ціна олівець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[1]Лист2!$J$3:$J$14</c:f>
              <c:numCache>
                <c:formatCode>General</c:formatCode>
                <c:ptCount val="12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A6FF-4DE4-BC5B-D2BD8ACB226A}"/>
            </c:ext>
          </c:extLst>
        </c:ser>
        <c:ser>
          <c:idx val="9"/>
          <c:order val="9"/>
          <c:tx>
            <c:strRef>
              <c:f>[1]Лист2!$K$1:$K$2</c:f>
              <c:strCache>
                <c:ptCount val="1"/>
                <c:pt idx="0">
                  <c:v>середня ціна ручка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[1]Лист2!$A$3:$A$14</c:f>
              <c:strCache>
                <c:ptCount val="12"/>
                <c:pt idx="0">
                  <c:v>січень</c:v>
                </c:pt>
                <c:pt idx="1">
                  <c:v>лютий</c:v>
                </c:pt>
                <c:pt idx="2">
                  <c:v>березень</c:v>
                </c:pt>
                <c:pt idx="3">
                  <c:v>квітень</c:v>
                </c:pt>
                <c:pt idx="4">
                  <c:v>травень</c:v>
                </c:pt>
                <c:pt idx="5">
                  <c:v>червень</c:v>
                </c:pt>
                <c:pt idx="6">
                  <c:v>липень</c:v>
                </c:pt>
                <c:pt idx="7">
                  <c:v>серпень</c:v>
                </c:pt>
                <c:pt idx="8">
                  <c:v>вересень</c:v>
                </c:pt>
                <c:pt idx="9">
                  <c:v>жовтень</c:v>
                </c:pt>
                <c:pt idx="10">
                  <c:v>листопад</c:v>
                </c:pt>
                <c:pt idx="11">
                  <c:v>грудень</c:v>
                </c:pt>
              </c:strCache>
            </c:strRef>
          </c:cat>
          <c:val>
            <c:numRef>
              <c:f>[1]Лист2!$K$3:$K$14</c:f>
              <c:numCache>
                <c:formatCode>General</c:formatCode>
                <c:ptCount val="12"/>
                <c:pt idx="0">
                  <c:v>7.25</c:v>
                </c:pt>
                <c:pt idx="1">
                  <c:v>7.25</c:v>
                </c:pt>
                <c:pt idx="2">
                  <c:v>7.25</c:v>
                </c:pt>
                <c:pt idx="3">
                  <c:v>7.25</c:v>
                </c:pt>
                <c:pt idx="4">
                  <c:v>7.25</c:v>
                </c:pt>
                <c:pt idx="5">
                  <c:v>7.25</c:v>
                </c:pt>
                <c:pt idx="6">
                  <c:v>7.25</c:v>
                </c:pt>
                <c:pt idx="7">
                  <c:v>7.25</c:v>
                </c:pt>
                <c:pt idx="8">
                  <c:v>7.25</c:v>
                </c:pt>
                <c:pt idx="9">
                  <c:v>7.25</c:v>
                </c:pt>
                <c:pt idx="10">
                  <c:v>7.25</c:v>
                </c:pt>
                <c:pt idx="11">
                  <c:v>7.25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A6FF-4DE4-BC5B-D2BD8ACB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51665776"/>
        <c:axId val="-1951665232"/>
      </c:lineChart>
      <c:catAx>
        <c:axId val="-195166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951665232"/>
        <c:crosses val="autoZero"/>
        <c:auto val="1"/>
        <c:lblAlgn val="ctr"/>
        <c:lblOffset val="100"/>
        <c:noMultiLvlLbl val="0"/>
      </c:catAx>
      <c:valAx>
        <c:axId val="-1951665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9516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5482526895918933"/>
          <c:y val="3.0786220270961832E-2"/>
          <c:w val="0.23397314105398503"/>
          <c:h val="0.920594715436205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7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7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7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127001</xdr:colOff>
      <xdr:row>19</xdr:row>
      <xdr:rowOff>177802</xdr:rowOff>
    </xdr:from>
    <xdr:to>
      <xdr:col>15</xdr:col>
      <xdr:colOff>677333</xdr:colOff>
      <xdr:row>35</xdr:row>
      <xdr:rowOff>52916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57150</xdr:rowOff>
        </xdr:from>
        <xdr:to>
          <xdr:col>6</xdr:col>
          <xdr:colOff>819150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Кнопка;)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148167</xdr:colOff>
      <xdr:row>35</xdr:row>
      <xdr:rowOff>84667</xdr:rowOff>
    </xdr:from>
    <xdr:to>
      <xdr:col>15</xdr:col>
      <xdr:colOff>698499</xdr:colOff>
      <xdr:row>50</xdr:row>
      <xdr:rowOff>160864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211667</xdr:colOff>
      <xdr:row>51</xdr:row>
      <xdr:rowOff>0</xdr:rowOff>
    </xdr:from>
    <xdr:to>
      <xdr:col>15</xdr:col>
      <xdr:colOff>761999</xdr:colOff>
      <xdr:row>66</xdr:row>
      <xdr:rowOff>76198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31946</xdr:colOff>
      <xdr:row>0</xdr:row>
      <xdr:rowOff>11724</xdr:rowOff>
    </xdr:from>
    <xdr:to>
      <xdr:col>21</xdr:col>
      <xdr:colOff>376606</xdr:colOff>
      <xdr:row>14</xdr:row>
      <xdr:rowOff>9966</xdr:rowOff>
    </xdr:to>
    <xdr:graphicFrame macro="">
      <xdr:nvGraphicFramePr>
        <xdr:cNvPr id="2" name="Діагра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aptop\Desktop\&#1088;&#1086;&#1073;&#1086;&#1095;&#1072;%20&#1087;&#1072;&#1087;&#1082;&#1072;\&#1087;&#1072;&#1082;&#1077;&#1090;&#1080;%20&#1087;&#1088;&#1080;&#1082;&#1083;&#1072;&#1076;&#1085;&#1080;&#1093;%20&#1087;&#1088;&#1086;&#1075;&#1088;&#1072;&#1084;\Lab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труктура сценарію"/>
      <sheetName val="Лист1"/>
      <sheetName val="Лист2"/>
    </sheetNames>
    <sheetDataSet>
      <sheetData sheetId="0" refreshError="1"/>
      <sheetData sheetId="1">
        <row r="2">
          <cell r="B2" t="str">
            <v>ручка</v>
          </cell>
        </row>
        <row r="3">
          <cell r="B3" t="str">
            <v>олівець</v>
          </cell>
        </row>
        <row r="4">
          <cell r="B4" t="str">
            <v>cумка</v>
          </cell>
        </row>
        <row r="5">
          <cell r="B5" t="str">
            <v>яблоко</v>
          </cell>
        </row>
        <row r="6">
          <cell r="B6" t="str">
            <v>лилия</v>
          </cell>
        </row>
        <row r="7">
          <cell r="C7" t="str">
            <v>Дата закупівлі</v>
          </cell>
        </row>
        <row r="8">
          <cell r="D8">
            <v>23</v>
          </cell>
          <cell r="H8">
            <v>44</v>
          </cell>
        </row>
        <row r="9">
          <cell r="D9">
            <v>21</v>
          </cell>
          <cell r="H9">
            <v>90</v>
          </cell>
        </row>
        <row r="10">
          <cell r="D10">
            <v>12</v>
          </cell>
          <cell r="H10">
            <v>285</v>
          </cell>
        </row>
        <row r="11">
          <cell r="D11">
            <v>14</v>
          </cell>
          <cell r="H11">
            <v>299</v>
          </cell>
        </row>
        <row r="12">
          <cell r="D12">
            <v>23</v>
          </cell>
          <cell r="H12">
            <v>108</v>
          </cell>
        </row>
        <row r="13">
          <cell r="D13">
            <v>24</v>
          </cell>
          <cell r="H13">
            <v>93</v>
          </cell>
        </row>
        <row r="14">
          <cell r="D14">
            <v>19</v>
          </cell>
          <cell r="H14">
            <v>280</v>
          </cell>
        </row>
        <row r="15">
          <cell r="D15">
            <v>25</v>
          </cell>
          <cell r="H15">
            <v>78</v>
          </cell>
        </row>
        <row r="16">
          <cell r="D16">
            <v>15</v>
          </cell>
          <cell r="H16">
            <v>516</v>
          </cell>
        </row>
        <row r="17">
          <cell r="D17">
            <v>23</v>
          </cell>
          <cell r="H17">
            <v>188</v>
          </cell>
        </row>
        <row r="18">
          <cell r="D18">
            <v>18</v>
          </cell>
          <cell r="H18">
            <v>459</v>
          </cell>
        </row>
        <row r="19">
          <cell r="D19">
            <v>20</v>
          </cell>
          <cell r="H19">
            <v>385</v>
          </cell>
        </row>
        <row r="20">
          <cell r="H20">
            <v>2825</v>
          </cell>
        </row>
        <row r="21">
          <cell r="D21">
            <v>83</v>
          </cell>
          <cell r="H21">
            <v>2</v>
          </cell>
        </row>
        <row r="22">
          <cell r="D22">
            <v>84</v>
          </cell>
        </row>
        <row r="23">
          <cell r="D23">
            <v>73</v>
          </cell>
        </row>
        <row r="24">
          <cell r="D24">
            <v>71</v>
          </cell>
        </row>
        <row r="25">
          <cell r="D25">
            <v>63</v>
          </cell>
        </row>
        <row r="26">
          <cell r="D26">
            <v>56</v>
          </cell>
        </row>
        <row r="27">
          <cell r="D27">
            <v>73</v>
          </cell>
        </row>
        <row r="28">
          <cell r="D28">
            <v>62</v>
          </cell>
        </row>
        <row r="29">
          <cell r="D29">
            <v>65</v>
          </cell>
        </row>
        <row r="30">
          <cell r="D30">
            <v>58</v>
          </cell>
        </row>
        <row r="31">
          <cell r="D31">
            <v>61</v>
          </cell>
        </row>
        <row r="32">
          <cell r="D32">
            <v>60</v>
          </cell>
        </row>
        <row r="34">
          <cell r="D34">
            <v>26</v>
          </cell>
        </row>
        <row r="35">
          <cell r="D35">
            <v>24</v>
          </cell>
        </row>
        <row r="36">
          <cell r="D36">
            <v>19</v>
          </cell>
        </row>
        <row r="37">
          <cell r="D37">
            <v>18</v>
          </cell>
        </row>
        <row r="38">
          <cell r="D38">
            <v>21</v>
          </cell>
        </row>
        <row r="39">
          <cell r="D39">
            <v>27</v>
          </cell>
        </row>
        <row r="40">
          <cell r="D40">
            <v>24</v>
          </cell>
        </row>
        <row r="41">
          <cell r="D41">
            <v>26</v>
          </cell>
        </row>
        <row r="42">
          <cell r="D42">
            <v>18</v>
          </cell>
        </row>
        <row r="43">
          <cell r="D43">
            <v>17</v>
          </cell>
        </row>
        <row r="44">
          <cell r="D44">
            <v>24</v>
          </cell>
        </row>
        <row r="45">
          <cell r="D45">
            <v>24</v>
          </cell>
        </row>
        <row r="47">
          <cell r="D47">
            <v>2</v>
          </cell>
        </row>
        <row r="48">
          <cell r="D48">
            <v>1</v>
          </cell>
        </row>
        <row r="49">
          <cell r="D49">
            <v>1</v>
          </cell>
        </row>
        <row r="50">
          <cell r="D50">
            <v>2</v>
          </cell>
        </row>
        <row r="51">
          <cell r="D51">
            <v>3</v>
          </cell>
        </row>
        <row r="52">
          <cell r="D52">
            <v>3</v>
          </cell>
        </row>
        <row r="53">
          <cell r="D53">
            <v>2</v>
          </cell>
        </row>
        <row r="54">
          <cell r="D54">
            <v>2</v>
          </cell>
        </row>
        <row r="55">
          <cell r="D55">
            <v>1</v>
          </cell>
        </row>
        <row r="56">
          <cell r="D56">
            <v>2</v>
          </cell>
        </row>
        <row r="57">
          <cell r="D57">
            <v>3</v>
          </cell>
        </row>
        <row r="58">
          <cell r="D58">
            <v>8</v>
          </cell>
        </row>
        <row r="60">
          <cell r="D60">
            <v>6</v>
          </cell>
        </row>
        <row r="61">
          <cell r="D61">
            <v>8</v>
          </cell>
        </row>
        <row r="62">
          <cell r="D62">
            <v>8</v>
          </cell>
        </row>
        <row r="63">
          <cell r="D63">
            <v>7</v>
          </cell>
        </row>
        <row r="64">
          <cell r="D64">
            <v>5</v>
          </cell>
        </row>
        <row r="65">
          <cell r="D65">
            <v>6</v>
          </cell>
        </row>
        <row r="66">
          <cell r="D66">
            <v>6</v>
          </cell>
        </row>
        <row r="67">
          <cell r="D67">
            <v>7</v>
          </cell>
        </row>
        <row r="68">
          <cell r="D68">
            <v>8</v>
          </cell>
        </row>
        <row r="69">
          <cell r="D69">
            <v>9</v>
          </cell>
        </row>
        <row r="70">
          <cell r="D70">
            <v>9</v>
          </cell>
        </row>
        <row r="71">
          <cell r="D71">
            <v>8</v>
          </cell>
        </row>
      </sheetData>
      <sheetData sheetId="2">
        <row r="1">
          <cell r="B1" t="str">
            <v>закупка</v>
          </cell>
          <cell r="G1" t="str">
            <v>середня ціна</v>
          </cell>
        </row>
        <row r="2">
          <cell r="B2" t="str">
            <v>яблоко</v>
          </cell>
          <cell r="C2" t="str">
            <v>cумка</v>
          </cell>
          <cell r="D2" t="str">
            <v>лилия</v>
          </cell>
          <cell r="E2" t="str">
            <v>олівець</v>
          </cell>
          <cell r="F2" t="str">
            <v>ручка</v>
          </cell>
          <cell r="G2" t="str">
            <v>яблоко</v>
          </cell>
          <cell r="H2" t="str">
            <v>cумка</v>
          </cell>
          <cell r="I2" t="str">
            <v>лилия</v>
          </cell>
          <cell r="J2" t="str">
            <v>олівець</v>
          </cell>
          <cell r="K2" t="str">
            <v>ручка</v>
          </cell>
        </row>
        <row r="3">
          <cell r="A3" t="str">
            <v>січень</v>
          </cell>
          <cell r="B3">
            <v>23</v>
          </cell>
          <cell r="C3">
            <v>83</v>
          </cell>
          <cell r="D3">
            <v>26</v>
          </cell>
          <cell r="E3">
            <v>2</v>
          </cell>
          <cell r="F3">
            <v>6</v>
          </cell>
          <cell r="G3">
            <v>19.75</v>
          </cell>
          <cell r="H3">
            <v>67.416666666666671</v>
          </cell>
          <cell r="I3">
            <v>22.333333333333332</v>
          </cell>
          <cell r="J3">
            <v>2.5</v>
          </cell>
          <cell r="K3">
            <v>7.25</v>
          </cell>
        </row>
        <row r="4">
          <cell r="A4" t="str">
            <v>лютий</v>
          </cell>
          <cell r="B4">
            <v>21</v>
          </cell>
          <cell r="C4">
            <v>84</v>
          </cell>
          <cell r="D4">
            <v>24</v>
          </cell>
          <cell r="E4">
            <v>1</v>
          </cell>
          <cell r="F4">
            <v>8</v>
          </cell>
          <cell r="G4">
            <v>19.75</v>
          </cell>
          <cell r="H4">
            <v>67.416666666666671</v>
          </cell>
          <cell r="I4">
            <v>22.333333333333332</v>
          </cell>
          <cell r="J4">
            <v>2.5</v>
          </cell>
          <cell r="K4">
            <v>7.25</v>
          </cell>
        </row>
        <row r="5">
          <cell r="A5" t="str">
            <v>березень</v>
          </cell>
          <cell r="B5">
            <v>12</v>
          </cell>
          <cell r="C5">
            <v>73</v>
          </cell>
          <cell r="D5">
            <v>19</v>
          </cell>
          <cell r="E5">
            <v>1</v>
          </cell>
          <cell r="F5">
            <v>8</v>
          </cell>
          <cell r="G5">
            <v>19.75</v>
          </cell>
          <cell r="H5">
            <v>67.416666666666671</v>
          </cell>
          <cell r="I5">
            <v>22.333333333333332</v>
          </cell>
          <cell r="J5">
            <v>2.5</v>
          </cell>
          <cell r="K5">
            <v>7.25</v>
          </cell>
        </row>
        <row r="6">
          <cell r="A6" t="str">
            <v>квітень</v>
          </cell>
          <cell r="B6">
            <v>14</v>
          </cell>
          <cell r="C6">
            <v>71</v>
          </cell>
          <cell r="D6">
            <v>18</v>
          </cell>
          <cell r="E6">
            <v>2</v>
          </cell>
          <cell r="F6">
            <v>7</v>
          </cell>
          <cell r="G6">
            <v>19.75</v>
          </cell>
          <cell r="H6">
            <v>67.416666666666671</v>
          </cell>
          <cell r="I6">
            <v>22.333333333333332</v>
          </cell>
          <cell r="J6">
            <v>2.5</v>
          </cell>
          <cell r="K6">
            <v>7.25</v>
          </cell>
        </row>
        <row r="7">
          <cell r="A7" t="str">
            <v>травень</v>
          </cell>
          <cell r="B7">
            <v>23</v>
          </cell>
          <cell r="C7">
            <v>63</v>
          </cell>
          <cell r="D7">
            <v>21</v>
          </cell>
          <cell r="E7">
            <v>3</v>
          </cell>
          <cell r="F7">
            <v>5</v>
          </cell>
          <cell r="G7">
            <v>19.75</v>
          </cell>
          <cell r="H7">
            <v>67.416666666666671</v>
          </cell>
          <cell r="I7">
            <v>22.333333333333332</v>
          </cell>
          <cell r="J7">
            <v>2.5</v>
          </cell>
          <cell r="K7">
            <v>7.25</v>
          </cell>
        </row>
        <row r="8">
          <cell r="A8" t="str">
            <v>червень</v>
          </cell>
          <cell r="B8">
            <v>24</v>
          </cell>
          <cell r="C8">
            <v>56</v>
          </cell>
          <cell r="D8">
            <v>27</v>
          </cell>
          <cell r="E8">
            <v>3</v>
          </cell>
          <cell r="F8">
            <v>6</v>
          </cell>
          <cell r="G8">
            <v>19.75</v>
          </cell>
          <cell r="H8">
            <v>67.416666666666671</v>
          </cell>
          <cell r="I8">
            <v>22.333333333333332</v>
          </cell>
          <cell r="J8">
            <v>2.5</v>
          </cell>
          <cell r="K8">
            <v>7.25</v>
          </cell>
        </row>
        <row r="9">
          <cell r="A9" t="str">
            <v>липень</v>
          </cell>
          <cell r="B9">
            <v>19</v>
          </cell>
          <cell r="C9">
            <v>73</v>
          </cell>
          <cell r="D9">
            <v>24</v>
          </cell>
          <cell r="E9">
            <v>2</v>
          </cell>
          <cell r="F9">
            <v>6</v>
          </cell>
          <cell r="G9">
            <v>19.75</v>
          </cell>
          <cell r="H9">
            <v>67.416666666666671</v>
          </cell>
          <cell r="I9">
            <v>22.333333333333332</v>
          </cell>
          <cell r="J9">
            <v>2.5</v>
          </cell>
          <cell r="K9">
            <v>7.25</v>
          </cell>
        </row>
        <row r="10">
          <cell r="A10" t="str">
            <v>серпень</v>
          </cell>
          <cell r="B10">
            <v>25</v>
          </cell>
          <cell r="C10">
            <v>62</v>
          </cell>
          <cell r="D10">
            <v>26</v>
          </cell>
          <cell r="E10">
            <v>2</v>
          </cell>
          <cell r="F10">
            <v>7</v>
          </cell>
          <cell r="G10">
            <v>19.75</v>
          </cell>
          <cell r="H10">
            <v>67.416666666666671</v>
          </cell>
          <cell r="I10">
            <v>22.333333333333332</v>
          </cell>
          <cell r="J10">
            <v>2.5</v>
          </cell>
          <cell r="K10">
            <v>7.25</v>
          </cell>
        </row>
        <row r="11">
          <cell r="A11" t="str">
            <v>вересень</v>
          </cell>
          <cell r="B11">
            <v>15</v>
          </cell>
          <cell r="C11">
            <v>65</v>
          </cell>
          <cell r="D11">
            <v>18</v>
          </cell>
          <cell r="E11">
            <v>1</v>
          </cell>
          <cell r="F11">
            <v>8</v>
          </cell>
          <cell r="G11">
            <v>19.75</v>
          </cell>
          <cell r="H11">
            <v>67.416666666666671</v>
          </cell>
          <cell r="I11">
            <v>22.333333333333332</v>
          </cell>
          <cell r="J11">
            <v>2.5</v>
          </cell>
          <cell r="K11">
            <v>7.25</v>
          </cell>
        </row>
        <row r="12">
          <cell r="A12" t="str">
            <v>жовтень</v>
          </cell>
          <cell r="B12">
            <v>23</v>
          </cell>
          <cell r="C12">
            <v>58</v>
          </cell>
          <cell r="D12">
            <v>17</v>
          </cell>
          <cell r="E12">
            <v>2</v>
          </cell>
          <cell r="F12">
            <v>9</v>
          </cell>
          <cell r="G12">
            <v>19.75</v>
          </cell>
          <cell r="H12">
            <v>67.416666666666671</v>
          </cell>
          <cell r="I12">
            <v>22.333333333333332</v>
          </cell>
          <cell r="J12">
            <v>2.5</v>
          </cell>
          <cell r="K12">
            <v>7.25</v>
          </cell>
        </row>
        <row r="13">
          <cell r="A13" t="str">
            <v>листопад</v>
          </cell>
          <cell r="B13">
            <v>18</v>
          </cell>
          <cell r="C13">
            <v>61</v>
          </cell>
          <cell r="D13">
            <v>24</v>
          </cell>
          <cell r="E13">
            <v>3</v>
          </cell>
          <cell r="F13">
            <v>9</v>
          </cell>
          <cell r="G13">
            <v>19.75</v>
          </cell>
          <cell r="H13">
            <v>67.416666666666671</v>
          </cell>
          <cell r="I13">
            <v>22.333333333333332</v>
          </cell>
          <cell r="J13">
            <v>2.5</v>
          </cell>
          <cell r="K13">
            <v>7.25</v>
          </cell>
        </row>
        <row r="14">
          <cell r="A14" t="str">
            <v>грудень</v>
          </cell>
          <cell r="B14">
            <v>20</v>
          </cell>
          <cell r="C14">
            <v>60</v>
          </cell>
          <cell r="D14">
            <v>24</v>
          </cell>
          <cell r="E14">
            <v>8</v>
          </cell>
          <cell r="F14">
            <v>8</v>
          </cell>
          <cell r="G14">
            <v>19.75</v>
          </cell>
          <cell r="H14">
            <v>67.416666666666671</v>
          </cell>
          <cell r="I14">
            <v>22.333333333333332</v>
          </cell>
          <cell r="J14">
            <v>2.5</v>
          </cell>
          <cell r="K14">
            <v>7.25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G20"/>
  <sheetViews>
    <sheetView showGridLines="0" workbookViewId="0"/>
  </sheetViews>
  <sheetFormatPr defaultRowHeight="15" outlineLevelRow="1" outlineLevelCol="1" x14ac:dyDescent="0.25"/>
  <cols>
    <col min="3" max="3" width="12.28515625" bestFit="1" customWidth="1"/>
    <col min="4" max="7" width="16.28515625" bestFit="1" customWidth="1" outlineLevel="1"/>
  </cols>
  <sheetData>
    <row r="1" spans="2:7" ht="15.75" thickBot="1" x14ac:dyDescent="0.3"/>
    <row r="2" spans="2:7" ht="15.75" x14ac:dyDescent="0.25">
      <c r="B2" s="59" t="s">
        <v>29</v>
      </c>
      <c r="C2" s="59"/>
      <c r="D2" s="44"/>
      <c r="E2" s="44"/>
      <c r="F2" s="44"/>
      <c r="G2" s="44"/>
    </row>
    <row r="3" spans="2:7" ht="15.75" collapsed="1" x14ac:dyDescent="0.25">
      <c r="B3" s="58"/>
      <c r="C3" s="58"/>
      <c r="D3" s="45" t="s">
        <v>31</v>
      </c>
      <c r="E3" s="45" t="s">
        <v>22</v>
      </c>
      <c r="F3" s="45" t="s">
        <v>23</v>
      </c>
      <c r="G3" s="45" t="s">
        <v>24</v>
      </c>
    </row>
    <row r="4" spans="2:7" ht="67.5" hidden="1" outlineLevel="1" x14ac:dyDescent="0.25">
      <c r="B4" s="60"/>
      <c r="C4" s="60"/>
      <c r="D4" s="40"/>
      <c r="E4" s="47" t="s">
        <v>28</v>
      </c>
      <c r="F4" s="47" t="s">
        <v>28</v>
      </c>
      <c r="G4" s="47" t="s">
        <v>28</v>
      </c>
    </row>
    <row r="5" spans="2:7" x14ac:dyDescent="0.25">
      <c r="B5" s="61" t="s">
        <v>30</v>
      </c>
      <c r="C5" s="61"/>
      <c r="D5" s="43"/>
      <c r="E5" s="43"/>
      <c r="F5" s="43"/>
      <c r="G5" s="43"/>
    </row>
    <row r="6" spans="2:7" outlineLevel="1" x14ac:dyDescent="0.25">
      <c r="B6" s="60"/>
      <c r="C6" s="60" t="s">
        <v>1</v>
      </c>
      <c r="D6" s="41">
        <v>11</v>
      </c>
      <c r="E6" s="46">
        <v>11</v>
      </c>
      <c r="F6" s="46">
        <v>11</v>
      </c>
      <c r="G6" s="46">
        <v>11</v>
      </c>
    </row>
    <row r="7" spans="2:7" outlineLevel="1" x14ac:dyDescent="0.25">
      <c r="B7" s="60"/>
      <c r="C7" s="60" t="s">
        <v>2</v>
      </c>
      <c r="D7" s="41">
        <v>5</v>
      </c>
      <c r="E7" s="46">
        <v>5</v>
      </c>
      <c r="F7" s="46">
        <v>5</v>
      </c>
      <c r="G7" s="46">
        <v>5</v>
      </c>
    </row>
    <row r="8" spans="2:7" outlineLevel="1" x14ac:dyDescent="0.25">
      <c r="B8" s="60"/>
      <c r="C8" s="60" t="s">
        <v>4</v>
      </c>
      <c r="D8" s="41">
        <v>85</v>
      </c>
      <c r="E8" s="46">
        <v>85</v>
      </c>
      <c r="F8" s="46">
        <v>85</v>
      </c>
      <c r="G8" s="46">
        <v>85</v>
      </c>
    </row>
    <row r="9" spans="2:7" outlineLevel="1" x14ac:dyDescent="0.25">
      <c r="B9" s="60"/>
      <c r="C9" s="60" t="s">
        <v>5</v>
      </c>
      <c r="D9" s="41">
        <v>27</v>
      </c>
      <c r="E9" s="46">
        <v>27</v>
      </c>
      <c r="F9" s="46">
        <v>27</v>
      </c>
      <c r="G9" s="46">
        <v>27</v>
      </c>
    </row>
    <row r="10" spans="2:7" outlineLevel="1" x14ac:dyDescent="0.25">
      <c r="B10" s="60"/>
      <c r="C10" s="60" t="s">
        <v>6</v>
      </c>
      <c r="D10" s="41">
        <v>36</v>
      </c>
      <c r="E10" s="46">
        <v>36</v>
      </c>
      <c r="F10" s="46">
        <v>36</v>
      </c>
      <c r="G10" s="46">
        <v>36</v>
      </c>
    </row>
    <row r="11" spans="2:7" x14ac:dyDescent="0.25">
      <c r="B11" s="61" t="s">
        <v>25</v>
      </c>
      <c r="C11" s="61"/>
      <c r="D11" s="43"/>
      <c r="E11" s="43"/>
      <c r="F11" s="43"/>
      <c r="G11" s="43"/>
    </row>
    <row r="12" spans="2:7" outlineLevel="1" x14ac:dyDescent="0.25">
      <c r="B12" s="60"/>
      <c r="C12" s="60" t="s">
        <v>35</v>
      </c>
      <c r="D12" s="41">
        <v>2825</v>
      </c>
      <c r="E12" s="41">
        <v>2825</v>
      </c>
      <c r="F12" s="41">
        <v>2825</v>
      </c>
      <c r="G12" s="41">
        <v>2825</v>
      </c>
    </row>
    <row r="13" spans="2:7" outlineLevel="1" x14ac:dyDescent="0.25">
      <c r="B13" s="60"/>
      <c r="C13" s="60" t="s">
        <v>36</v>
      </c>
      <c r="D13" s="41">
        <v>3113</v>
      </c>
      <c r="E13" s="41">
        <v>3113</v>
      </c>
      <c r="F13" s="41">
        <v>3113</v>
      </c>
      <c r="G13" s="41">
        <v>3113</v>
      </c>
    </row>
    <row r="14" spans="2:7" outlineLevel="1" x14ac:dyDescent="0.25">
      <c r="B14" s="60"/>
      <c r="C14" s="60" t="s">
        <v>37</v>
      </c>
      <c r="D14" s="41">
        <v>490</v>
      </c>
      <c r="E14" s="41">
        <v>490</v>
      </c>
      <c r="F14" s="41">
        <v>490</v>
      </c>
      <c r="G14" s="41">
        <v>490</v>
      </c>
    </row>
    <row r="15" spans="2:7" outlineLevel="1" x14ac:dyDescent="0.25">
      <c r="B15" s="60"/>
      <c r="C15" s="60" t="s">
        <v>38</v>
      </c>
      <c r="D15" s="41">
        <v>140.19999999999999</v>
      </c>
      <c r="E15" s="41">
        <v>140.19999999999999</v>
      </c>
      <c r="F15" s="41">
        <v>140.19999999999999</v>
      </c>
      <c r="G15" s="41">
        <v>140.19999999999999</v>
      </c>
    </row>
    <row r="16" spans="2:7" outlineLevel="1" x14ac:dyDescent="0.25">
      <c r="B16" s="60"/>
      <c r="C16" s="60" t="s">
        <v>39</v>
      </c>
      <c r="D16" s="41">
        <v>251</v>
      </c>
      <c r="E16" s="41">
        <v>251</v>
      </c>
      <c r="F16" s="41">
        <v>251</v>
      </c>
      <c r="G16" s="41">
        <v>251</v>
      </c>
    </row>
    <row r="17" spans="2:7" ht="15.75" outlineLevel="1" thickBot="1" x14ac:dyDescent="0.3">
      <c r="B17" s="62"/>
      <c r="C17" s="62" t="s">
        <v>40</v>
      </c>
      <c r="D17" s="42">
        <v>6819.2</v>
      </c>
      <c r="E17" s="42">
        <v>6819.2</v>
      </c>
      <c r="F17" s="42">
        <v>6819.2</v>
      </c>
      <c r="G17" s="42">
        <v>6819.2</v>
      </c>
    </row>
    <row r="18" spans="2:7" x14ac:dyDescent="0.25">
      <c r="B18" t="s">
        <v>32</v>
      </c>
    </row>
    <row r="19" spans="2:7" x14ac:dyDescent="0.25">
      <c r="B19" t="s">
        <v>33</v>
      </c>
    </row>
    <row r="20" spans="2:7" x14ac:dyDescent="0.25">
      <c r="B20" t="s">
        <v>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2">
    <pageSetUpPr fitToPage="1"/>
  </sheetPr>
  <dimension ref="A1:U79"/>
  <sheetViews>
    <sheetView topLeftCell="A7" zoomScaleNormal="100" workbookViewId="0">
      <selection activeCell="H7" activeCellId="1" sqref="C7:C19 H7:H19"/>
    </sheetView>
  </sheetViews>
  <sheetFormatPr defaultRowHeight="15" x14ac:dyDescent="0.25"/>
  <cols>
    <col min="1" max="18" width="12.7109375" customWidth="1"/>
  </cols>
  <sheetData>
    <row r="1" spans="1:21" ht="30.75" thickBot="1" x14ac:dyDescent="0.3">
      <c r="A1" s="1"/>
      <c r="B1" s="2"/>
      <c r="C1" s="3" t="s">
        <v>0</v>
      </c>
    </row>
    <row r="2" spans="1:21" x14ac:dyDescent="0.25">
      <c r="A2" s="4">
        <v>1</v>
      </c>
      <c r="B2" s="5" t="s">
        <v>1</v>
      </c>
      <c r="C2" s="6">
        <v>11</v>
      </c>
    </row>
    <row r="3" spans="1:21" x14ac:dyDescent="0.25">
      <c r="A3" s="7">
        <v>2</v>
      </c>
      <c r="B3" s="8" t="s">
        <v>2</v>
      </c>
      <c r="C3" s="9">
        <v>5</v>
      </c>
      <c r="F3" s="57"/>
      <c r="G3" s="57"/>
      <c r="M3" s="10" t="s">
        <v>3</v>
      </c>
    </row>
    <row r="4" spans="1:21" ht="15.75" thickBot="1" x14ac:dyDescent="0.3">
      <c r="A4" s="7">
        <v>3</v>
      </c>
      <c r="B4" s="8" t="s">
        <v>4</v>
      </c>
      <c r="C4" s="9">
        <v>85</v>
      </c>
      <c r="M4" s="11">
        <v>28</v>
      </c>
    </row>
    <row r="5" spans="1:21" ht="15.75" thickBot="1" x14ac:dyDescent="0.3">
      <c r="A5" s="7">
        <v>4</v>
      </c>
      <c r="B5" s="8" t="s">
        <v>5</v>
      </c>
      <c r="C5" s="9">
        <v>27</v>
      </c>
      <c r="L5" s="12">
        <v>5</v>
      </c>
    </row>
    <row r="6" spans="1:21" ht="15.75" thickBot="1" x14ac:dyDescent="0.3">
      <c r="A6" s="13">
        <v>5</v>
      </c>
      <c r="B6" s="14" t="s">
        <v>6</v>
      </c>
      <c r="C6" s="15">
        <v>36</v>
      </c>
      <c r="D6" s="16"/>
      <c r="E6" s="16"/>
      <c r="F6" s="16"/>
      <c r="G6" s="16"/>
      <c r="H6" s="16"/>
      <c r="I6" s="16"/>
    </row>
    <row r="7" spans="1:21" ht="38.25" thickBot="1" x14ac:dyDescent="0.3">
      <c r="A7" s="17" t="s">
        <v>7</v>
      </c>
      <c r="B7" s="18" t="s">
        <v>8</v>
      </c>
      <c r="C7" s="19" t="s">
        <v>9</v>
      </c>
      <c r="D7" s="19" t="s">
        <v>10</v>
      </c>
      <c r="E7" s="18" t="s">
        <v>11</v>
      </c>
      <c r="F7" s="19" t="s">
        <v>12</v>
      </c>
      <c r="G7" s="20" t="s">
        <v>13</v>
      </c>
      <c r="H7" s="20" t="s">
        <v>14</v>
      </c>
      <c r="I7" s="21" t="s">
        <v>15</v>
      </c>
      <c r="J7" s="22"/>
      <c r="K7" s="23"/>
      <c r="L7" s="23"/>
      <c r="M7" s="22"/>
      <c r="N7" s="22"/>
      <c r="O7" s="22"/>
      <c r="P7" s="22"/>
      <c r="Q7" s="22"/>
      <c r="R7" s="22"/>
      <c r="S7" s="22"/>
      <c r="T7" s="22"/>
      <c r="U7" s="22"/>
    </row>
    <row r="8" spans="1:21" x14ac:dyDescent="0.25">
      <c r="A8" s="24">
        <v>1</v>
      </c>
      <c r="B8" s="25" t="s">
        <v>5</v>
      </c>
      <c r="C8" s="26">
        <v>43104</v>
      </c>
      <c r="D8" s="27">
        <v>23</v>
      </c>
      <c r="E8" s="28">
        <v>11</v>
      </c>
      <c r="F8" s="27">
        <f t="shared" ref="F8:F71" si="0">D8*E8</f>
        <v>253</v>
      </c>
      <c r="G8" s="27">
        <f t="shared" ref="G8:G19" si="1">E8*яблоко</f>
        <v>297</v>
      </c>
      <c r="H8" s="29">
        <f>G8-F8</f>
        <v>44</v>
      </c>
      <c r="I8" s="30">
        <f t="shared" ref="I8:I41" si="2">H8/Курс</f>
        <v>1.5714285714285714</v>
      </c>
      <c r="J8" s="31"/>
      <c r="K8" s="32">
        <f>H8*$L$5</f>
        <v>220</v>
      </c>
      <c r="L8" s="32">
        <f>I8*$L$5</f>
        <v>7.8571428571428568</v>
      </c>
      <c r="N8">
        <v>6</v>
      </c>
    </row>
    <row r="9" spans="1:21" x14ac:dyDescent="0.25">
      <c r="A9" s="33">
        <v>2</v>
      </c>
      <c r="B9" s="34" t="s">
        <v>5</v>
      </c>
      <c r="C9" s="35">
        <v>43135</v>
      </c>
      <c r="D9" s="29">
        <v>21</v>
      </c>
      <c r="E9" s="36">
        <v>15</v>
      </c>
      <c r="F9" s="29">
        <f t="shared" si="0"/>
        <v>315</v>
      </c>
      <c r="G9" s="27">
        <f t="shared" si="1"/>
        <v>405</v>
      </c>
      <c r="H9" s="27">
        <f t="shared" ref="H9:H71" si="3">G9-F9</f>
        <v>90</v>
      </c>
      <c r="I9" s="30">
        <f t="shared" si="2"/>
        <v>3.2142857142857144</v>
      </c>
      <c r="J9" s="31"/>
      <c r="K9" s="32">
        <f t="shared" ref="K9:L19" si="4">H9*$L$5</f>
        <v>450</v>
      </c>
      <c r="L9" s="32">
        <f t="shared" si="4"/>
        <v>16.071428571428573</v>
      </c>
      <c r="N9">
        <v>12</v>
      </c>
    </row>
    <row r="10" spans="1:21" x14ac:dyDescent="0.25">
      <c r="A10" s="33">
        <v>3</v>
      </c>
      <c r="B10" s="34" t="s">
        <v>5</v>
      </c>
      <c r="C10" s="35">
        <v>43163</v>
      </c>
      <c r="D10" s="29">
        <v>12</v>
      </c>
      <c r="E10" s="28">
        <v>19</v>
      </c>
      <c r="F10" s="29">
        <f t="shared" si="0"/>
        <v>228</v>
      </c>
      <c r="G10" s="27">
        <f t="shared" si="1"/>
        <v>513</v>
      </c>
      <c r="H10" s="29">
        <f t="shared" si="3"/>
        <v>285</v>
      </c>
      <c r="I10" s="30">
        <f t="shared" si="2"/>
        <v>10.178571428571429</v>
      </c>
      <c r="J10" s="31"/>
      <c r="K10" s="32">
        <f t="shared" si="4"/>
        <v>1425</v>
      </c>
      <c r="L10" s="32">
        <f t="shared" si="4"/>
        <v>50.892857142857146</v>
      </c>
      <c r="N10">
        <v>24</v>
      </c>
    </row>
    <row r="11" spans="1:21" x14ac:dyDescent="0.25">
      <c r="A11" s="33">
        <v>4</v>
      </c>
      <c r="B11" s="34" t="s">
        <v>5</v>
      </c>
      <c r="C11" s="35">
        <v>43194</v>
      </c>
      <c r="D11" s="29">
        <v>14</v>
      </c>
      <c r="E11" s="36">
        <v>23</v>
      </c>
      <c r="F11" s="29">
        <f t="shared" si="0"/>
        <v>322</v>
      </c>
      <c r="G11" s="27">
        <f t="shared" si="1"/>
        <v>621</v>
      </c>
      <c r="H11" s="27">
        <f t="shared" si="3"/>
        <v>299</v>
      </c>
      <c r="I11" s="30">
        <f t="shared" si="2"/>
        <v>10.678571428571429</v>
      </c>
      <c r="J11" s="31"/>
      <c r="K11" s="32">
        <f t="shared" si="4"/>
        <v>1495</v>
      </c>
      <c r="L11" s="32">
        <f t="shared" si="4"/>
        <v>53.392857142857146</v>
      </c>
      <c r="N11">
        <v>48</v>
      </c>
    </row>
    <row r="12" spans="1:21" x14ac:dyDescent="0.25">
      <c r="A12" s="33">
        <v>5</v>
      </c>
      <c r="B12" s="34" t="s">
        <v>5</v>
      </c>
      <c r="C12" s="35">
        <v>43224</v>
      </c>
      <c r="D12" s="29">
        <v>23</v>
      </c>
      <c r="E12" s="28">
        <v>27</v>
      </c>
      <c r="F12" s="29">
        <f t="shared" si="0"/>
        <v>621</v>
      </c>
      <c r="G12" s="27">
        <f t="shared" si="1"/>
        <v>729</v>
      </c>
      <c r="H12" s="29">
        <f t="shared" si="3"/>
        <v>108</v>
      </c>
      <c r="I12" s="30">
        <f t="shared" si="2"/>
        <v>3.8571428571428572</v>
      </c>
      <c r="J12" s="31"/>
      <c r="K12" s="32">
        <f t="shared" si="4"/>
        <v>540</v>
      </c>
      <c r="L12" s="32">
        <f t="shared" si="4"/>
        <v>19.285714285714285</v>
      </c>
      <c r="N12">
        <v>96</v>
      </c>
    </row>
    <row r="13" spans="1:21" x14ac:dyDescent="0.25">
      <c r="A13" s="33">
        <v>6</v>
      </c>
      <c r="B13" s="34" t="s">
        <v>5</v>
      </c>
      <c r="C13" s="35">
        <v>43255</v>
      </c>
      <c r="D13" s="29">
        <v>24</v>
      </c>
      <c r="E13" s="36">
        <v>31</v>
      </c>
      <c r="F13" s="29">
        <f t="shared" si="0"/>
        <v>744</v>
      </c>
      <c r="G13" s="27">
        <f t="shared" si="1"/>
        <v>837</v>
      </c>
      <c r="H13" s="27">
        <f t="shared" si="3"/>
        <v>93</v>
      </c>
      <c r="I13" s="30">
        <f t="shared" si="2"/>
        <v>3.3214285714285716</v>
      </c>
      <c r="J13" s="31"/>
      <c r="K13" s="32">
        <f t="shared" si="4"/>
        <v>465</v>
      </c>
      <c r="L13" s="32">
        <f t="shared" si="4"/>
        <v>16.607142857142858</v>
      </c>
      <c r="N13">
        <v>192</v>
      </c>
    </row>
    <row r="14" spans="1:21" x14ac:dyDescent="0.25">
      <c r="A14" s="33">
        <v>7</v>
      </c>
      <c r="B14" s="34" t="s">
        <v>5</v>
      </c>
      <c r="C14" s="35">
        <v>43285</v>
      </c>
      <c r="D14" s="29">
        <v>19</v>
      </c>
      <c r="E14" s="28">
        <v>35</v>
      </c>
      <c r="F14" s="29">
        <f t="shared" si="0"/>
        <v>665</v>
      </c>
      <c r="G14" s="27">
        <f t="shared" si="1"/>
        <v>945</v>
      </c>
      <c r="H14" s="29">
        <f>G14-F14</f>
        <v>280</v>
      </c>
      <c r="I14" s="30">
        <f t="shared" si="2"/>
        <v>10</v>
      </c>
      <c r="J14" s="31"/>
      <c r="K14" s="32">
        <f t="shared" si="4"/>
        <v>1400</v>
      </c>
      <c r="L14" s="32">
        <f t="shared" si="4"/>
        <v>50</v>
      </c>
      <c r="N14">
        <v>384</v>
      </c>
    </row>
    <row r="15" spans="1:21" x14ac:dyDescent="0.25">
      <c r="A15" s="33">
        <v>8</v>
      </c>
      <c r="B15" s="34" t="s">
        <v>5</v>
      </c>
      <c r="C15" s="35">
        <v>43316</v>
      </c>
      <c r="D15" s="29">
        <v>25</v>
      </c>
      <c r="E15" s="36">
        <v>39</v>
      </c>
      <c r="F15" s="29">
        <f t="shared" si="0"/>
        <v>975</v>
      </c>
      <c r="G15" s="27">
        <f t="shared" si="1"/>
        <v>1053</v>
      </c>
      <c r="H15" s="29">
        <f t="shared" si="3"/>
        <v>78</v>
      </c>
      <c r="I15" s="30">
        <f t="shared" si="2"/>
        <v>2.7857142857142856</v>
      </c>
      <c r="J15" s="31"/>
      <c r="K15" s="32">
        <f t="shared" si="4"/>
        <v>390</v>
      </c>
      <c r="L15" s="32">
        <f t="shared" si="4"/>
        <v>13.928571428571427</v>
      </c>
      <c r="N15">
        <v>768</v>
      </c>
    </row>
    <row r="16" spans="1:21" x14ac:dyDescent="0.25">
      <c r="A16" s="33">
        <v>9</v>
      </c>
      <c r="B16" s="34" t="s">
        <v>5</v>
      </c>
      <c r="C16" s="35">
        <v>43347</v>
      </c>
      <c r="D16" s="29">
        <v>15</v>
      </c>
      <c r="E16" s="28">
        <v>43</v>
      </c>
      <c r="F16" s="29">
        <f t="shared" si="0"/>
        <v>645</v>
      </c>
      <c r="G16" s="27">
        <f t="shared" si="1"/>
        <v>1161</v>
      </c>
      <c r="H16" s="27">
        <f t="shared" si="3"/>
        <v>516</v>
      </c>
      <c r="I16" s="30">
        <f t="shared" si="2"/>
        <v>18.428571428571427</v>
      </c>
      <c r="J16" s="31"/>
      <c r="K16" s="32">
        <f t="shared" si="4"/>
        <v>2580</v>
      </c>
      <c r="L16" s="32">
        <f t="shared" si="4"/>
        <v>92.142857142857139</v>
      </c>
      <c r="N16">
        <v>1536</v>
      </c>
    </row>
    <row r="17" spans="1:14" x14ac:dyDescent="0.25">
      <c r="A17" s="33">
        <v>10</v>
      </c>
      <c r="B17" s="34" t="s">
        <v>5</v>
      </c>
      <c r="C17" s="35">
        <v>43377</v>
      </c>
      <c r="D17" s="29">
        <v>23</v>
      </c>
      <c r="E17" s="36">
        <v>47</v>
      </c>
      <c r="F17" s="29">
        <f t="shared" si="0"/>
        <v>1081</v>
      </c>
      <c r="G17" s="27">
        <f t="shared" si="1"/>
        <v>1269</v>
      </c>
      <c r="H17" s="29">
        <f t="shared" si="3"/>
        <v>188</v>
      </c>
      <c r="I17" s="30">
        <f t="shared" si="2"/>
        <v>6.7142857142857144</v>
      </c>
      <c r="J17" s="31"/>
      <c r="K17" s="32">
        <f t="shared" si="4"/>
        <v>940</v>
      </c>
      <c r="L17" s="32">
        <f t="shared" si="4"/>
        <v>33.571428571428569</v>
      </c>
      <c r="N17">
        <v>3072</v>
      </c>
    </row>
    <row r="18" spans="1:14" x14ac:dyDescent="0.25">
      <c r="A18" s="33">
        <v>11</v>
      </c>
      <c r="B18" s="34" t="s">
        <v>5</v>
      </c>
      <c r="C18" s="35">
        <v>43408</v>
      </c>
      <c r="D18" s="29">
        <v>18</v>
      </c>
      <c r="E18" s="28">
        <v>51</v>
      </c>
      <c r="F18" s="29">
        <f t="shared" si="0"/>
        <v>918</v>
      </c>
      <c r="G18" s="27">
        <f t="shared" si="1"/>
        <v>1377</v>
      </c>
      <c r="H18" s="27">
        <f t="shared" si="3"/>
        <v>459</v>
      </c>
      <c r="I18" s="30">
        <f t="shared" si="2"/>
        <v>16.392857142857142</v>
      </c>
      <c r="J18" s="31"/>
      <c r="K18" s="32">
        <f t="shared" si="4"/>
        <v>2295</v>
      </c>
      <c r="L18" s="32">
        <f t="shared" si="4"/>
        <v>81.964285714285708</v>
      </c>
      <c r="N18">
        <v>6144</v>
      </c>
    </row>
    <row r="19" spans="1:14" ht="15.75" thickBot="1" x14ac:dyDescent="0.3">
      <c r="A19" s="63">
        <v>12</v>
      </c>
      <c r="B19" s="64" t="s">
        <v>5</v>
      </c>
      <c r="C19" s="65">
        <v>43438</v>
      </c>
      <c r="D19" s="66">
        <v>20</v>
      </c>
      <c r="E19" s="67">
        <v>55</v>
      </c>
      <c r="F19" s="66">
        <f t="shared" si="0"/>
        <v>1100</v>
      </c>
      <c r="G19" s="68">
        <f t="shared" si="1"/>
        <v>1485</v>
      </c>
      <c r="H19" s="68">
        <f t="shared" si="3"/>
        <v>385</v>
      </c>
      <c r="I19" s="69">
        <f t="shared" si="2"/>
        <v>13.75</v>
      </c>
      <c r="J19" s="31"/>
      <c r="K19" s="32">
        <f t="shared" si="4"/>
        <v>1925</v>
      </c>
      <c r="L19" s="32">
        <f t="shared" si="4"/>
        <v>68.75</v>
      </c>
      <c r="N19">
        <v>12288</v>
      </c>
    </row>
    <row r="20" spans="1:14" ht="15.75" thickBot="1" x14ac:dyDescent="0.3">
      <c r="A20" s="70"/>
      <c r="B20" s="71" t="s">
        <v>16</v>
      </c>
      <c r="C20" s="72"/>
      <c r="D20" s="73"/>
      <c r="E20" s="74">
        <f>SUBTOTAL(9,E8:E19)</f>
        <v>396</v>
      </c>
      <c r="F20" s="73">
        <f>SUBTOTAL(9,F8:F19)</f>
        <v>7867</v>
      </c>
      <c r="G20" s="73">
        <f>SUBTOTAL(9,G8:G19)</f>
        <v>10692</v>
      </c>
      <c r="H20" s="73">
        <f>SUBTOTAL(9,H8:H19)</f>
        <v>2825</v>
      </c>
      <c r="I20" s="75"/>
      <c r="J20" s="37"/>
      <c r="K20" s="38"/>
      <c r="L20" s="38"/>
    </row>
    <row r="21" spans="1:14" x14ac:dyDescent="0.25">
      <c r="A21" s="24">
        <v>13</v>
      </c>
      <c r="B21" s="25" t="s">
        <v>4</v>
      </c>
      <c r="C21" s="26">
        <v>43103</v>
      </c>
      <c r="D21" s="27">
        <v>83</v>
      </c>
      <c r="E21" s="28">
        <v>1</v>
      </c>
      <c r="F21" s="27">
        <f t="shared" si="0"/>
        <v>83</v>
      </c>
      <c r="G21" s="27">
        <f t="shared" ref="G21:G32" si="5">E21*cумка</f>
        <v>85</v>
      </c>
      <c r="H21" s="27">
        <f t="shared" si="3"/>
        <v>2</v>
      </c>
      <c r="I21" s="30">
        <f t="shared" si="2"/>
        <v>7.1428571428571425E-2</v>
      </c>
    </row>
    <row r="22" spans="1:14" x14ac:dyDescent="0.25">
      <c r="A22" s="33">
        <v>14</v>
      </c>
      <c r="B22" s="34" t="s">
        <v>4</v>
      </c>
      <c r="C22" s="35">
        <v>43134</v>
      </c>
      <c r="D22" s="29">
        <v>84</v>
      </c>
      <c r="E22" s="36">
        <v>3</v>
      </c>
      <c r="F22" s="29">
        <f t="shared" si="0"/>
        <v>252</v>
      </c>
      <c r="G22" s="29">
        <f t="shared" si="5"/>
        <v>255</v>
      </c>
      <c r="H22" s="27">
        <f t="shared" si="3"/>
        <v>3</v>
      </c>
      <c r="I22" s="30">
        <f t="shared" si="2"/>
        <v>0.10714285714285714</v>
      </c>
    </row>
    <row r="23" spans="1:14" x14ac:dyDescent="0.25">
      <c r="A23" s="33">
        <v>15</v>
      </c>
      <c r="B23" s="34" t="s">
        <v>4</v>
      </c>
      <c r="C23" s="35">
        <v>43162</v>
      </c>
      <c r="D23" s="29">
        <v>73</v>
      </c>
      <c r="E23" s="36">
        <v>5</v>
      </c>
      <c r="F23" s="29">
        <f t="shared" si="0"/>
        <v>365</v>
      </c>
      <c r="G23" s="29">
        <f t="shared" si="5"/>
        <v>425</v>
      </c>
      <c r="H23" s="27">
        <f t="shared" si="3"/>
        <v>60</v>
      </c>
      <c r="I23" s="30">
        <f t="shared" si="2"/>
        <v>2.1428571428571428</v>
      </c>
    </row>
    <row r="24" spans="1:14" x14ac:dyDescent="0.25">
      <c r="A24" s="33">
        <v>16</v>
      </c>
      <c r="B24" s="34" t="s">
        <v>4</v>
      </c>
      <c r="C24" s="35">
        <v>43193</v>
      </c>
      <c r="D24" s="29">
        <v>71</v>
      </c>
      <c r="E24" s="36">
        <v>7</v>
      </c>
      <c r="F24" s="29">
        <f t="shared" si="0"/>
        <v>497</v>
      </c>
      <c r="G24" s="29">
        <f t="shared" si="5"/>
        <v>595</v>
      </c>
      <c r="H24" s="27">
        <f t="shared" si="3"/>
        <v>98</v>
      </c>
      <c r="I24" s="30">
        <f t="shared" si="2"/>
        <v>3.5</v>
      </c>
    </row>
    <row r="25" spans="1:14" x14ac:dyDescent="0.25">
      <c r="A25" s="33">
        <v>17</v>
      </c>
      <c r="B25" s="34" t="s">
        <v>4</v>
      </c>
      <c r="C25" s="35">
        <v>43223</v>
      </c>
      <c r="D25" s="29">
        <v>63</v>
      </c>
      <c r="E25" s="36">
        <v>9</v>
      </c>
      <c r="F25" s="29">
        <f t="shared" si="0"/>
        <v>567</v>
      </c>
      <c r="G25" s="29">
        <f t="shared" si="5"/>
        <v>765</v>
      </c>
      <c r="H25" s="27">
        <f t="shared" si="3"/>
        <v>198</v>
      </c>
      <c r="I25" s="30">
        <f t="shared" si="2"/>
        <v>7.0714285714285712</v>
      </c>
    </row>
    <row r="26" spans="1:14" x14ac:dyDescent="0.25">
      <c r="A26" s="33">
        <v>18</v>
      </c>
      <c r="B26" s="34" t="s">
        <v>4</v>
      </c>
      <c r="C26" s="35">
        <v>43254</v>
      </c>
      <c r="D26" s="29">
        <v>56</v>
      </c>
      <c r="E26" s="36">
        <v>11</v>
      </c>
      <c r="F26" s="29">
        <f t="shared" si="0"/>
        <v>616</v>
      </c>
      <c r="G26" s="29">
        <f t="shared" si="5"/>
        <v>935</v>
      </c>
      <c r="H26" s="27">
        <f t="shared" si="3"/>
        <v>319</v>
      </c>
      <c r="I26" s="30">
        <f t="shared" si="2"/>
        <v>11.392857142857142</v>
      </c>
    </row>
    <row r="27" spans="1:14" x14ac:dyDescent="0.25">
      <c r="A27" s="33">
        <v>19</v>
      </c>
      <c r="B27" s="34" t="s">
        <v>4</v>
      </c>
      <c r="C27" s="35">
        <v>43284</v>
      </c>
      <c r="D27" s="29">
        <v>73</v>
      </c>
      <c r="E27" s="36">
        <v>13</v>
      </c>
      <c r="F27" s="29">
        <f t="shared" si="0"/>
        <v>949</v>
      </c>
      <c r="G27" s="29">
        <f t="shared" si="5"/>
        <v>1105</v>
      </c>
      <c r="H27" s="27">
        <f t="shared" si="3"/>
        <v>156</v>
      </c>
      <c r="I27" s="30">
        <f t="shared" si="2"/>
        <v>5.5714285714285712</v>
      </c>
    </row>
    <row r="28" spans="1:14" x14ac:dyDescent="0.25">
      <c r="A28" s="33">
        <v>20</v>
      </c>
      <c r="B28" s="34" t="s">
        <v>4</v>
      </c>
      <c r="C28" s="35">
        <v>43315</v>
      </c>
      <c r="D28" s="29">
        <v>62</v>
      </c>
      <c r="E28" s="36">
        <v>15</v>
      </c>
      <c r="F28" s="29">
        <f t="shared" si="0"/>
        <v>930</v>
      </c>
      <c r="G28" s="29">
        <f t="shared" si="5"/>
        <v>1275</v>
      </c>
      <c r="H28" s="27">
        <f t="shared" si="3"/>
        <v>345</v>
      </c>
      <c r="I28" s="30">
        <f t="shared" si="2"/>
        <v>12.321428571428571</v>
      </c>
    </row>
    <row r="29" spans="1:14" x14ac:dyDescent="0.25">
      <c r="A29" s="33">
        <v>21</v>
      </c>
      <c r="B29" s="34" t="s">
        <v>4</v>
      </c>
      <c r="C29" s="35">
        <v>43346</v>
      </c>
      <c r="D29" s="29">
        <v>65</v>
      </c>
      <c r="E29" s="36">
        <v>17</v>
      </c>
      <c r="F29" s="29">
        <f t="shared" si="0"/>
        <v>1105</v>
      </c>
      <c r="G29" s="29">
        <f t="shared" si="5"/>
        <v>1445</v>
      </c>
      <c r="H29" s="27">
        <f t="shared" si="3"/>
        <v>340</v>
      </c>
      <c r="I29" s="30">
        <f t="shared" si="2"/>
        <v>12.142857142857142</v>
      </c>
    </row>
    <row r="30" spans="1:14" x14ac:dyDescent="0.25">
      <c r="A30" s="33">
        <v>22</v>
      </c>
      <c r="B30" s="34" t="s">
        <v>4</v>
      </c>
      <c r="C30" s="35">
        <v>43376</v>
      </c>
      <c r="D30" s="29">
        <v>58</v>
      </c>
      <c r="E30" s="36">
        <v>19</v>
      </c>
      <c r="F30" s="29">
        <f t="shared" si="0"/>
        <v>1102</v>
      </c>
      <c r="G30" s="29">
        <f t="shared" si="5"/>
        <v>1615</v>
      </c>
      <c r="H30" s="27">
        <f t="shared" si="3"/>
        <v>513</v>
      </c>
      <c r="I30" s="30">
        <f t="shared" si="2"/>
        <v>18.321428571428573</v>
      </c>
    </row>
    <row r="31" spans="1:14" x14ac:dyDescent="0.25">
      <c r="A31" s="33">
        <v>23</v>
      </c>
      <c r="B31" s="34" t="s">
        <v>4</v>
      </c>
      <c r="C31" s="35">
        <v>43407</v>
      </c>
      <c r="D31" s="29">
        <v>61</v>
      </c>
      <c r="E31" s="36">
        <v>21</v>
      </c>
      <c r="F31" s="29">
        <f t="shared" si="0"/>
        <v>1281</v>
      </c>
      <c r="G31" s="29">
        <f t="shared" si="5"/>
        <v>1785</v>
      </c>
      <c r="H31" s="27">
        <f t="shared" si="3"/>
        <v>504</v>
      </c>
      <c r="I31" s="30">
        <f t="shared" si="2"/>
        <v>18</v>
      </c>
    </row>
    <row r="32" spans="1:14" ht="15.75" thickBot="1" x14ac:dyDescent="0.3">
      <c r="A32" s="63">
        <v>24</v>
      </c>
      <c r="B32" s="64" t="s">
        <v>4</v>
      </c>
      <c r="C32" s="65">
        <v>43437</v>
      </c>
      <c r="D32" s="66">
        <v>60</v>
      </c>
      <c r="E32" s="67">
        <v>23</v>
      </c>
      <c r="F32" s="66">
        <f t="shared" si="0"/>
        <v>1380</v>
      </c>
      <c r="G32" s="66">
        <f t="shared" si="5"/>
        <v>1955</v>
      </c>
      <c r="H32" s="68">
        <f t="shared" si="3"/>
        <v>575</v>
      </c>
      <c r="I32" s="69">
        <f t="shared" si="2"/>
        <v>20.535714285714285</v>
      </c>
    </row>
    <row r="33" spans="1:9" ht="15.75" thickBot="1" x14ac:dyDescent="0.3">
      <c r="A33" s="70"/>
      <c r="B33" s="71" t="s">
        <v>17</v>
      </c>
      <c r="C33" s="72"/>
      <c r="D33" s="73"/>
      <c r="E33" s="74">
        <f>SUBTOTAL(9,E21:E32)</f>
        <v>144</v>
      </c>
      <c r="F33" s="73">
        <f>SUBTOTAL(9,F21:F32)</f>
        <v>9127</v>
      </c>
      <c r="G33" s="73">
        <f>SUBTOTAL(9,G21:G32)</f>
        <v>12240</v>
      </c>
      <c r="H33" s="73">
        <f>SUBTOTAL(9,H21:H32)</f>
        <v>3113</v>
      </c>
      <c r="I33" s="76"/>
    </row>
    <row r="34" spans="1:9" x14ac:dyDescent="0.25">
      <c r="A34" s="24">
        <v>25</v>
      </c>
      <c r="B34" s="25" t="s">
        <v>6</v>
      </c>
      <c r="C34" s="26">
        <v>43105</v>
      </c>
      <c r="D34" s="27">
        <v>26</v>
      </c>
      <c r="E34" s="28">
        <v>3</v>
      </c>
      <c r="F34" s="27">
        <f t="shared" si="0"/>
        <v>78</v>
      </c>
      <c r="G34" s="27">
        <f t="shared" ref="G34:G45" si="6">E34*лилия</f>
        <v>108</v>
      </c>
      <c r="H34" s="27">
        <f t="shared" si="3"/>
        <v>30</v>
      </c>
      <c r="I34" s="30">
        <f t="shared" si="2"/>
        <v>1.0714285714285714</v>
      </c>
    </row>
    <row r="35" spans="1:9" x14ac:dyDescent="0.25">
      <c r="A35" s="33">
        <v>26</v>
      </c>
      <c r="B35" s="34" t="s">
        <v>6</v>
      </c>
      <c r="C35" s="35">
        <v>43136</v>
      </c>
      <c r="D35" s="29">
        <v>24</v>
      </c>
      <c r="E35" s="36">
        <v>5</v>
      </c>
      <c r="F35" s="29">
        <f t="shared" si="0"/>
        <v>120</v>
      </c>
      <c r="G35" s="29">
        <f t="shared" si="6"/>
        <v>180</v>
      </c>
      <c r="H35" s="27">
        <f t="shared" si="3"/>
        <v>60</v>
      </c>
      <c r="I35" s="30">
        <f t="shared" si="2"/>
        <v>2.1428571428571428</v>
      </c>
    </row>
    <row r="36" spans="1:9" x14ac:dyDescent="0.25">
      <c r="A36" s="33">
        <v>27</v>
      </c>
      <c r="B36" s="34" t="s">
        <v>6</v>
      </c>
      <c r="C36" s="35">
        <v>43164</v>
      </c>
      <c r="D36" s="29">
        <v>19</v>
      </c>
      <c r="E36" s="36">
        <v>3</v>
      </c>
      <c r="F36" s="29">
        <f t="shared" si="0"/>
        <v>57</v>
      </c>
      <c r="G36" s="29">
        <f t="shared" si="6"/>
        <v>108</v>
      </c>
      <c r="H36" s="27">
        <f t="shared" si="3"/>
        <v>51</v>
      </c>
      <c r="I36" s="30">
        <f t="shared" si="2"/>
        <v>1.8214285714285714</v>
      </c>
    </row>
    <row r="37" spans="1:9" x14ac:dyDescent="0.25">
      <c r="A37" s="33">
        <v>28</v>
      </c>
      <c r="B37" s="34" t="s">
        <v>6</v>
      </c>
      <c r="C37" s="35">
        <v>43195</v>
      </c>
      <c r="D37" s="29">
        <v>18</v>
      </c>
      <c r="E37" s="36">
        <v>1</v>
      </c>
      <c r="F37" s="29">
        <f t="shared" si="0"/>
        <v>18</v>
      </c>
      <c r="G37" s="29">
        <f t="shared" si="6"/>
        <v>36</v>
      </c>
      <c r="H37" s="27">
        <f t="shared" si="3"/>
        <v>18</v>
      </c>
      <c r="I37" s="30">
        <f t="shared" si="2"/>
        <v>0.6428571428571429</v>
      </c>
    </row>
    <row r="38" spans="1:9" x14ac:dyDescent="0.25">
      <c r="A38" s="33">
        <v>29</v>
      </c>
      <c r="B38" s="34" t="s">
        <v>6</v>
      </c>
      <c r="C38" s="35">
        <v>43225</v>
      </c>
      <c r="D38" s="29">
        <v>21</v>
      </c>
      <c r="E38" s="36">
        <v>3</v>
      </c>
      <c r="F38" s="29">
        <f t="shared" si="0"/>
        <v>63</v>
      </c>
      <c r="G38" s="29">
        <f t="shared" si="6"/>
        <v>108</v>
      </c>
      <c r="H38" s="27">
        <f t="shared" si="3"/>
        <v>45</v>
      </c>
      <c r="I38" s="30">
        <f t="shared" si="2"/>
        <v>1.6071428571428572</v>
      </c>
    </row>
    <row r="39" spans="1:9" x14ac:dyDescent="0.25">
      <c r="A39" s="33">
        <v>30</v>
      </c>
      <c r="B39" s="34" t="s">
        <v>6</v>
      </c>
      <c r="C39" s="35">
        <v>43256</v>
      </c>
      <c r="D39" s="29">
        <v>27</v>
      </c>
      <c r="E39" s="36">
        <v>1</v>
      </c>
      <c r="F39" s="29">
        <f t="shared" si="0"/>
        <v>27</v>
      </c>
      <c r="G39" s="29">
        <f t="shared" si="6"/>
        <v>36</v>
      </c>
      <c r="H39" s="27">
        <f t="shared" si="3"/>
        <v>9</v>
      </c>
      <c r="I39" s="30">
        <f t="shared" si="2"/>
        <v>0.32142857142857145</v>
      </c>
    </row>
    <row r="40" spans="1:9" x14ac:dyDescent="0.25">
      <c r="A40" s="33">
        <v>31</v>
      </c>
      <c r="B40" s="34" t="s">
        <v>6</v>
      </c>
      <c r="C40" s="35">
        <v>43286</v>
      </c>
      <c r="D40" s="29">
        <v>24</v>
      </c>
      <c r="E40" s="36">
        <v>0.5</v>
      </c>
      <c r="F40" s="29">
        <f t="shared" si="0"/>
        <v>12</v>
      </c>
      <c r="G40" s="29">
        <f t="shared" si="6"/>
        <v>18</v>
      </c>
      <c r="H40" s="27">
        <f t="shared" si="3"/>
        <v>6</v>
      </c>
      <c r="I40" s="30">
        <f t="shared" si="2"/>
        <v>0.21428571428571427</v>
      </c>
    </row>
    <row r="41" spans="1:9" x14ac:dyDescent="0.25">
      <c r="A41" s="33">
        <v>32</v>
      </c>
      <c r="B41" s="34" t="s">
        <v>6</v>
      </c>
      <c r="C41" s="35">
        <v>43317</v>
      </c>
      <c r="D41" s="29">
        <v>26</v>
      </c>
      <c r="E41" s="36">
        <v>3</v>
      </c>
      <c r="F41" s="29">
        <f t="shared" si="0"/>
        <v>78</v>
      </c>
      <c r="G41" s="29">
        <f t="shared" si="6"/>
        <v>108</v>
      </c>
      <c r="H41" s="27">
        <f t="shared" si="3"/>
        <v>30</v>
      </c>
      <c r="I41" s="30">
        <f t="shared" si="2"/>
        <v>1.0714285714285714</v>
      </c>
    </row>
    <row r="42" spans="1:9" x14ac:dyDescent="0.25">
      <c r="A42" s="33">
        <v>33</v>
      </c>
      <c r="B42" s="34" t="s">
        <v>6</v>
      </c>
      <c r="C42" s="35">
        <v>43348</v>
      </c>
      <c r="D42" s="29">
        <v>18</v>
      </c>
      <c r="E42" s="36">
        <v>1</v>
      </c>
      <c r="F42" s="29">
        <f t="shared" si="0"/>
        <v>18</v>
      </c>
      <c r="G42" s="29">
        <f t="shared" si="6"/>
        <v>36</v>
      </c>
      <c r="H42" s="27">
        <f t="shared" si="3"/>
        <v>18</v>
      </c>
      <c r="I42" s="30">
        <f t="shared" ref="I42:I71" si="7">H42/Курс</f>
        <v>0.6428571428571429</v>
      </c>
    </row>
    <row r="43" spans="1:9" x14ac:dyDescent="0.25">
      <c r="A43" s="33">
        <v>34</v>
      </c>
      <c r="B43" s="34" t="s">
        <v>6</v>
      </c>
      <c r="C43" s="35">
        <v>43378</v>
      </c>
      <c r="D43" s="29">
        <v>17</v>
      </c>
      <c r="E43" s="36">
        <v>1</v>
      </c>
      <c r="F43" s="29">
        <f t="shared" si="0"/>
        <v>17</v>
      </c>
      <c r="G43" s="29">
        <f t="shared" si="6"/>
        <v>36</v>
      </c>
      <c r="H43" s="27">
        <f t="shared" si="3"/>
        <v>19</v>
      </c>
      <c r="I43" s="30">
        <f t="shared" si="7"/>
        <v>0.6785714285714286</v>
      </c>
    </row>
    <row r="44" spans="1:9" x14ac:dyDescent="0.25">
      <c r="A44" s="33">
        <v>35</v>
      </c>
      <c r="B44" s="34" t="s">
        <v>6</v>
      </c>
      <c r="C44" s="35">
        <v>43409</v>
      </c>
      <c r="D44" s="29">
        <v>24</v>
      </c>
      <c r="E44" s="36">
        <v>5</v>
      </c>
      <c r="F44" s="29">
        <f t="shared" si="0"/>
        <v>120</v>
      </c>
      <c r="G44" s="29">
        <f t="shared" si="6"/>
        <v>180</v>
      </c>
      <c r="H44" s="27">
        <f t="shared" si="3"/>
        <v>60</v>
      </c>
      <c r="I44" s="30">
        <f t="shared" si="7"/>
        <v>2.1428571428571428</v>
      </c>
    </row>
    <row r="45" spans="1:9" ht="15.75" thickBot="1" x14ac:dyDescent="0.3">
      <c r="A45" s="63">
        <v>36</v>
      </c>
      <c r="B45" s="64" t="s">
        <v>6</v>
      </c>
      <c r="C45" s="65">
        <v>43439</v>
      </c>
      <c r="D45" s="66">
        <v>24</v>
      </c>
      <c r="E45" s="67">
        <v>12</v>
      </c>
      <c r="F45" s="66">
        <f t="shared" si="0"/>
        <v>288</v>
      </c>
      <c r="G45" s="66">
        <f t="shared" si="6"/>
        <v>432</v>
      </c>
      <c r="H45" s="68">
        <f t="shared" si="3"/>
        <v>144</v>
      </c>
      <c r="I45" s="69">
        <f t="shared" si="7"/>
        <v>5.1428571428571432</v>
      </c>
    </row>
    <row r="46" spans="1:9" ht="15.75" thickBot="1" x14ac:dyDescent="0.3">
      <c r="A46" s="70"/>
      <c r="B46" s="71" t="s">
        <v>18</v>
      </c>
      <c r="C46" s="72"/>
      <c r="D46" s="73"/>
      <c r="E46" s="74">
        <f>SUBTOTAL(9,E34:E45)</f>
        <v>38.5</v>
      </c>
      <c r="F46" s="73">
        <f>SUBTOTAL(9,F34:F45)</f>
        <v>896</v>
      </c>
      <c r="G46" s="73">
        <f>SUBTOTAL(9,G34:G45)</f>
        <v>1386</v>
      </c>
      <c r="H46" s="73">
        <f>SUBTOTAL(9,H34:H45)</f>
        <v>490</v>
      </c>
      <c r="I46" s="76"/>
    </row>
    <row r="47" spans="1:9" x14ac:dyDescent="0.25">
      <c r="A47" s="24">
        <v>37</v>
      </c>
      <c r="B47" s="25" t="s">
        <v>2</v>
      </c>
      <c r="C47" s="26">
        <v>43102</v>
      </c>
      <c r="D47" s="27">
        <v>2</v>
      </c>
      <c r="E47" s="28">
        <v>3</v>
      </c>
      <c r="F47" s="27">
        <f t="shared" si="0"/>
        <v>6</v>
      </c>
      <c r="G47" s="27">
        <f t="shared" ref="G47:G58" si="8">E47*олівець</f>
        <v>15</v>
      </c>
      <c r="H47" s="27">
        <f t="shared" si="3"/>
        <v>9</v>
      </c>
      <c r="I47" s="30">
        <f t="shared" si="7"/>
        <v>0.32142857142857145</v>
      </c>
    </row>
    <row r="48" spans="1:9" x14ac:dyDescent="0.25">
      <c r="A48" s="33">
        <v>38</v>
      </c>
      <c r="B48" s="34" t="s">
        <v>2</v>
      </c>
      <c r="C48" s="35">
        <v>43133</v>
      </c>
      <c r="D48" s="29">
        <v>1</v>
      </c>
      <c r="E48" s="36">
        <v>6</v>
      </c>
      <c r="F48" s="29">
        <f t="shared" si="0"/>
        <v>6</v>
      </c>
      <c r="G48" s="29">
        <f t="shared" si="8"/>
        <v>30</v>
      </c>
      <c r="H48" s="27">
        <f t="shared" si="3"/>
        <v>24</v>
      </c>
      <c r="I48" s="30">
        <f t="shared" si="7"/>
        <v>0.8571428571428571</v>
      </c>
    </row>
    <row r="49" spans="1:9" x14ac:dyDescent="0.25">
      <c r="A49" s="33">
        <v>39</v>
      </c>
      <c r="B49" s="34" t="s">
        <v>2</v>
      </c>
      <c r="C49" s="35">
        <v>43161</v>
      </c>
      <c r="D49" s="29">
        <v>1</v>
      </c>
      <c r="E49" s="36">
        <v>10</v>
      </c>
      <c r="F49" s="29">
        <f t="shared" si="0"/>
        <v>10</v>
      </c>
      <c r="G49" s="29">
        <f t="shared" si="8"/>
        <v>50</v>
      </c>
      <c r="H49" s="27">
        <f t="shared" si="3"/>
        <v>40</v>
      </c>
      <c r="I49" s="30">
        <f t="shared" si="7"/>
        <v>1.4285714285714286</v>
      </c>
    </row>
    <row r="50" spans="1:9" x14ac:dyDescent="0.25">
      <c r="A50" s="33">
        <v>40</v>
      </c>
      <c r="B50" s="34" t="s">
        <v>2</v>
      </c>
      <c r="C50" s="35">
        <v>43192</v>
      </c>
      <c r="D50" s="29">
        <v>2</v>
      </c>
      <c r="E50" s="36">
        <v>1</v>
      </c>
      <c r="F50" s="29">
        <f t="shared" si="0"/>
        <v>2</v>
      </c>
      <c r="G50" s="29">
        <f t="shared" si="8"/>
        <v>5</v>
      </c>
      <c r="H50" s="27">
        <f t="shared" si="3"/>
        <v>3</v>
      </c>
      <c r="I50" s="30">
        <f t="shared" si="7"/>
        <v>0.10714285714285714</v>
      </c>
    </row>
    <row r="51" spans="1:9" x14ac:dyDescent="0.25">
      <c r="A51" s="33">
        <v>41</v>
      </c>
      <c r="B51" s="34" t="s">
        <v>2</v>
      </c>
      <c r="C51" s="35">
        <v>43222</v>
      </c>
      <c r="D51" s="29">
        <v>3</v>
      </c>
      <c r="E51" s="36">
        <v>4.5</v>
      </c>
      <c r="F51" s="29">
        <f t="shared" si="0"/>
        <v>13.5</v>
      </c>
      <c r="G51" s="29">
        <f t="shared" si="8"/>
        <v>22.5</v>
      </c>
      <c r="H51" s="29">
        <f t="shared" si="3"/>
        <v>9</v>
      </c>
      <c r="I51" s="30">
        <f t="shared" si="7"/>
        <v>0.32142857142857145</v>
      </c>
    </row>
    <row r="52" spans="1:9" x14ac:dyDescent="0.25">
      <c r="A52" s="33">
        <v>42</v>
      </c>
      <c r="B52" s="34" t="s">
        <v>2</v>
      </c>
      <c r="C52" s="35">
        <v>43253</v>
      </c>
      <c r="D52" s="29">
        <v>3</v>
      </c>
      <c r="E52" s="36">
        <v>4.3</v>
      </c>
      <c r="F52" s="29">
        <f t="shared" si="0"/>
        <v>12.899999999999999</v>
      </c>
      <c r="G52" s="29">
        <f t="shared" si="8"/>
        <v>21.5</v>
      </c>
      <c r="H52" s="29">
        <f t="shared" si="3"/>
        <v>8.6000000000000014</v>
      </c>
      <c r="I52" s="30">
        <f t="shared" si="7"/>
        <v>0.30714285714285722</v>
      </c>
    </row>
    <row r="53" spans="1:9" x14ac:dyDescent="0.25">
      <c r="A53" s="33">
        <v>43</v>
      </c>
      <c r="B53" s="34" t="s">
        <v>2</v>
      </c>
      <c r="C53" s="35">
        <v>43283</v>
      </c>
      <c r="D53" s="29">
        <v>2</v>
      </c>
      <c r="E53" s="36">
        <v>4.0999999999999996</v>
      </c>
      <c r="F53" s="29">
        <f t="shared" si="0"/>
        <v>8.1999999999999993</v>
      </c>
      <c r="G53" s="29">
        <f t="shared" si="8"/>
        <v>20.5</v>
      </c>
      <c r="H53" s="27">
        <f t="shared" si="3"/>
        <v>12.3</v>
      </c>
      <c r="I53" s="30">
        <f t="shared" si="7"/>
        <v>0.43928571428571433</v>
      </c>
    </row>
    <row r="54" spans="1:9" x14ac:dyDescent="0.25">
      <c r="A54" s="33">
        <v>44</v>
      </c>
      <c r="B54" s="34" t="s">
        <v>2</v>
      </c>
      <c r="C54" s="35">
        <v>43314</v>
      </c>
      <c r="D54" s="29">
        <v>2</v>
      </c>
      <c r="E54" s="36">
        <v>3.9</v>
      </c>
      <c r="F54" s="29">
        <f t="shared" si="0"/>
        <v>7.8</v>
      </c>
      <c r="G54" s="29">
        <f t="shared" si="8"/>
        <v>19.5</v>
      </c>
      <c r="H54" s="27">
        <f t="shared" si="3"/>
        <v>11.7</v>
      </c>
      <c r="I54" s="30">
        <f t="shared" si="7"/>
        <v>0.41785714285714282</v>
      </c>
    </row>
    <row r="55" spans="1:9" x14ac:dyDescent="0.25">
      <c r="A55" s="33">
        <v>45</v>
      </c>
      <c r="B55" s="34" t="s">
        <v>2</v>
      </c>
      <c r="C55" s="35">
        <v>43345</v>
      </c>
      <c r="D55" s="29">
        <v>1</v>
      </c>
      <c r="E55" s="36">
        <v>3.7</v>
      </c>
      <c r="F55" s="29">
        <f t="shared" si="0"/>
        <v>3.7</v>
      </c>
      <c r="G55" s="29">
        <f t="shared" si="8"/>
        <v>18.5</v>
      </c>
      <c r="H55" s="27">
        <f t="shared" si="3"/>
        <v>14.8</v>
      </c>
      <c r="I55" s="30">
        <f t="shared" si="7"/>
        <v>0.52857142857142858</v>
      </c>
    </row>
    <row r="56" spans="1:9" x14ac:dyDescent="0.25">
      <c r="A56" s="33">
        <v>46</v>
      </c>
      <c r="B56" s="34" t="s">
        <v>2</v>
      </c>
      <c r="C56" s="35">
        <v>43375</v>
      </c>
      <c r="D56" s="29">
        <v>2</v>
      </c>
      <c r="E56" s="36">
        <v>3.5</v>
      </c>
      <c r="F56" s="29">
        <f t="shared" si="0"/>
        <v>7</v>
      </c>
      <c r="G56" s="29">
        <f t="shared" si="8"/>
        <v>17.5</v>
      </c>
      <c r="H56" s="27">
        <f t="shared" si="3"/>
        <v>10.5</v>
      </c>
      <c r="I56" s="30">
        <f t="shared" si="7"/>
        <v>0.375</v>
      </c>
    </row>
    <row r="57" spans="1:9" x14ac:dyDescent="0.25">
      <c r="A57" s="33">
        <v>47</v>
      </c>
      <c r="B57" s="34" t="s">
        <v>2</v>
      </c>
      <c r="C57" s="35">
        <v>43406</v>
      </c>
      <c r="D57" s="29">
        <v>3</v>
      </c>
      <c r="E57" s="36">
        <v>3.3</v>
      </c>
      <c r="F57" s="29">
        <f t="shared" si="0"/>
        <v>9.8999999999999986</v>
      </c>
      <c r="G57" s="29">
        <f t="shared" si="8"/>
        <v>16.5</v>
      </c>
      <c r="H57" s="27">
        <f t="shared" si="3"/>
        <v>6.6000000000000014</v>
      </c>
      <c r="I57" s="30">
        <f t="shared" si="7"/>
        <v>0.23571428571428577</v>
      </c>
    </row>
    <row r="58" spans="1:9" ht="15.75" thickBot="1" x14ac:dyDescent="0.3">
      <c r="A58" s="63">
        <v>48</v>
      </c>
      <c r="B58" s="64" t="s">
        <v>2</v>
      </c>
      <c r="C58" s="65">
        <v>43436</v>
      </c>
      <c r="D58" s="66">
        <v>8</v>
      </c>
      <c r="E58" s="67">
        <v>3.1</v>
      </c>
      <c r="F58" s="66">
        <f t="shared" si="0"/>
        <v>24.8</v>
      </c>
      <c r="G58" s="66">
        <f t="shared" si="8"/>
        <v>15.5</v>
      </c>
      <c r="H58" s="68">
        <f t="shared" si="3"/>
        <v>-9.3000000000000007</v>
      </c>
      <c r="I58" s="69">
        <f t="shared" si="7"/>
        <v>-0.33214285714285718</v>
      </c>
    </row>
    <row r="59" spans="1:9" ht="15.75" thickBot="1" x14ac:dyDescent="0.3">
      <c r="A59" s="70"/>
      <c r="B59" s="71" t="s">
        <v>19</v>
      </c>
      <c r="C59" s="72"/>
      <c r="D59" s="73"/>
      <c r="E59" s="74">
        <f>SUBTOTAL(9,E47:E58)</f>
        <v>50.4</v>
      </c>
      <c r="F59" s="73">
        <f>SUBTOTAL(9,F47:F58)</f>
        <v>111.8</v>
      </c>
      <c r="G59" s="73">
        <f>SUBTOTAL(9,G47:G58)</f>
        <v>252</v>
      </c>
      <c r="H59" s="73">
        <f>SUBTOTAL(9,H47:H58)</f>
        <v>140.19999999999999</v>
      </c>
      <c r="I59" s="76"/>
    </row>
    <row r="60" spans="1:9" x14ac:dyDescent="0.25">
      <c r="A60" s="24">
        <v>49</v>
      </c>
      <c r="B60" s="25" t="s">
        <v>1</v>
      </c>
      <c r="C60" s="26">
        <v>43101</v>
      </c>
      <c r="D60" s="27">
        <v>6</v>
      </c>
      <c r="E60" s="28">
        <v>5</v>
      </c>
      <c r="F60" s="27">
        <f t="shared" si="0"/>
        <v>30</v>
      </c>
      <c r="G60" s="27">
        <f t="shared" ref="G60:G71" si="9">E60*ручка</f>
        <v>55</v>
      </c>
      <c r="H60" s="27">
        <f t="shared" si="3"/>
        <v>25</v>
      </c>
      <c r="I60" s="30">
        <f t="shared" si="7"/>
        <v>0.8928571428571429</v>
      </c>
    </row>
    <row r="61" spans="1:9" x14ac:dyDescent="0.25">
      <c r="A61" s="33">
        <v>50</v>
      </c>
      <c r="B61" s="34" t="s">
        <v>1</v>
      </c>
      <c r="C61" s="35">
        <v>43132</v>
      </c>
      <c r="D61" s="29">
        <v>8</v>
      </c>
      <c r="E61" s="36">
        <v>6</v>
      </c>
      <c r="F61" s="29">
        <f t="shared" si="0"/>
        <v>48</v>
      </c>
      <c r="G61" s="29">
        <f t="shared" si="9"/>
        <v>66</v>
      </c>
      <c r="H61" s="27">
        <f t="shared" si="3"/>
        <v>18</v>
      </c>
      <c r="I61" s="30">
        <f t="shared" si="7"/>
        <v>0.6428571428571429</v>
      </c>
    </row>
    <row r="62" spans="1:9" x14ac:dyDescent="0.25">
      <c r="A62" s="33">
        <v>51</v>
      </c>
      <c r="B62" s="34" t="s">
        <v>1</v>
      </c>
      <c r="C62" s="35">
        <v>43160</v>
      </c>
      <c r="D62" s="29">
        <v>8</v>
      </c>
      <c r="E62" s="36">
        <v>9</v>
      </c>
      <c r="F62" s="29">
        <f t="shared" si="0"/>
        <v>72</v>
      </c>
      <c r="G62" s="29">
        <f t="shared" si="9"/>
        <v>99</v>
      </c>
      <c r="H62" s="27">
        <f t="shared" si="3"/>
        <v>27</v>
      </c>
      <c r="I62" s="30">
        <f t="shared" si="7"/>
        <v>0.9642857142857143</v>
      </c>
    </row>
    <row r="63" spans="1:9" x14ac:dyDescent="0.25">
      <c r="A63" s="33">
        <v>52</v>
      </c>
      <c r="B63" s="34" t="s">
        <v>1</v>
      </c>
      <c r="C63" s="35">
        <v>43191</v>
      </c>
      <c r="D63" s="29">
        <v>7</v>
      </c>
      <c r="E63" s="36">
        <v>5</v>
      </c>
      <c r="F63" s="29">
        <f t="shared" si="0"/>
        <v>35</v>
      </c>
      <c r="G63" s="29">
        <f t="shared" si="9"/>
        <v>55</v>
      </c>
      <c r="H63" s="27">
        <f t="shared" si="3"/>
        <v>20</v>
      </c>
      <c r="I63" s="30">
        <f t="shared" si="7"/>
        <v>0.7142857142857143</v>
      </c>
    </row>
    <row r="64" spans="1:9" x14ac:dyDescent="0.25">
      <c r="A64" s="33">
        <v>53</v>
      </c>
      <c r="B64" s="34" t="s">
        <v>1</v>
      </c>
      <c r="C64" s="35">
        <v>43221</v>
      </c>
      <c r="D64" s="29">
        <v>5</v>
      </c>
      <c r="E64" s="36">
        <v>5</v>
      </c>
      <c r="F64" s="29">
        <f t="shared" si="0"/>
        <v>25</v>
      </c>
      <c r="G64" s="29">
        <f t="shared" si="9"/>
        <v>55</v>
      </c>
      <c r="H64" s="27">
        <f t="shared" si="3"/>
        <v>30</v>
      </c>
      <c r="I64" s="30">
        <f t="shared" si="7"/>
        <v>1.0714285714285714</v>
      </c>
    </row>
    <row r="65" spans="1:9" x14ac:dyDescent="0.25">
      <c r="A65" s="33">
        <v>54</v>
      </c>
      <c r="B65" s="34" t="s">
        <v>1</v>
      </c>
      <c r="C65" s="35">
        <v>43252</v>
      </c>
      <c r="D65" s="29">
        <v>6</v>
      </c>
      <c r="E65" s="36">
        <v>5.7</v>
      </c>
      <c r="F65" s="29">
        <f t="shared" si="0"/>
        <v>34.200000000000003</v>
      </c>
      <c r="G65" s="29">
        <f t="shared" si="9"/>
        <v>62.7</v>
      </c>
      <c r="H65" s="27">
        <f t="shared" si="3"/>
        <v>28.5</v>
      </c>
      <c r="I65" s="30">
        <f t="shared" si="7"/>
        <v>1.0178571428571428</v>
      </c>
    </row>
    <row r="66" spans="1:9" x14ac:dyDescent="0.25">
      <c r="A66" s="33">
        <v>55</v>
      </c>
      <c r="B66" s="34" t="s">
        <v>1</v>
      </c>
      <c r="C66" s="35">
        <v>43282</v>
      </c>
      <c r="D66" s="29">
        <v>6</v>
      </c>
      <c r="E66" s="36">
        <v>5.6</v>
      </c>
      <c r="F66" s="29">
        <f t="shared" si="0"/>
        <v>33.599999999999994</v>
      </c>
      <c r="G66" s="29">
        <f t="shared" si="9"/>
        <v>61.599999999999994</v>
      </c>
      <c r="H66" s="27">
        <f t="shared" si="3"/>
        <v>28</v>
      </c>
      <c r="I66" s="30">
        <f t="shared" si="7"/>
        <v>1</v>
      </c>
    </row>
    <row r="67" spans="1:9" x14ac:dyDescent="0.25">
      <c r="A67" s="33">
        <v>56</v>
      </c>
      <c r="B67" s="34" t="s">
        <v>1</v>
      </c>
      <c r="C67" s="35">
        <v>43313</v>
      </c>
      <c r="D67" s="29">
        <v>7</v>
      </c>
      <c r="E67" s="36">
        <v>5.5</v>
      </c>
      <c r="F67" s="29">
        <f t="shared" si="0"/>
        <v>38.5</v>
      </c>
      <c r="G67" s="29">
        <f t="shared" si="9"/>
        <v>60.5</v>
      </c>
      <c r="H67" s="27">
        <f t="shared" si="3"/>
        <v>22</v>
      </c>
      <c r="I67" s="30">
        <f t="shared" si="7"/>
        <v>0.7857142857142857</v>
      </c>
    </row>
    <row r="68" spans="1:9" x14ac:dyDescent="0.25">
      <c r="A68" s="33">
        <v>57</v>
      </c>
      <c r="B68" s="34" t="s">
        <v>1</v>
      </c>
      <c r="C68" s="35">
        <v>43344</v>
      </c>
      <c r="D68" s="29">
        <v>8</v>
      </c>
      <c r="E68" s="36">
        <v>5.4</v>
      </c>
      <c r="F68" s="29">
        <f t="shared" si="0"/>
        <v>43.2</v>
      </c>
      <c r="G68" s="29">
        <f t="shared" si="9"/>
        <v>59.400000000000006</v>
      </c>
      <c r="H68" s="27">
        <f t="shared" si="3"/>
        <v>16.200000000000003</v>
      </c>
      <c r="I68" s="30">
        <f t="shared" si="7"/>
        <v>0.57857142857142863</v>
      </c>
    </row>
    <row r="69" spans="1:9" x14ac:dyDescent="0.25">
      <c r="A69" s="33">
        <v>58</v>
      </c>
      <c r="B69" s="34" t="s">
        <v>1</v>
      </c>
      <c r="C69" s="35">
        <v>43374</v>
      </c>
      <c r="D69" s="29">
        <v>9</v>
      </c>
      <c r="E69" s="36">
        <v>5.3</v>
      </c>
      <c r="F69" s="29">
        <f t="shared" si="0"/>
        <v>47.699999999999996</v>
      </c>
      <c r="G69" s="29">
        <f t="shared" si="9"/>
        <v>58.3</v>
      </c>
      <c r="H69" s="27">
        <f t="shared" si="3"/>
        <v>10.600000000000001</v>
      </c>
      <c r="I69" s="30">
        <f t="shared" si="7"/>
        <v>0.37857142857142861</v>
      </c>
    </row>
    <row r="70" spans="1:9" x14ac:dyDescent="0.25">
      <c r="A70" s="33">
        <v>59</v>
      </c>
      <c r="B70" s="34" t="s">
        <v>1</v>
      </c>
      <c r="C70" s="35">
        <v>43405</v>
      </c>
      <c r="D70" s="29">
        <v>9</v>
      </c>
      <c r="E70" s="36">
        <v>5.2</v>
      </c>
      <c r="F70" s="29">
        <f t="shared" si="0"/>
        <v>46.800000000000004</v>
      </c>
      <c r="G70" s="29">
        <f t="shared" si="9"/>
        <v>57.2</v>
      </c>
      <c r="H70" s="27">
        <f t="shared" si="3"/>
        <v>10.399999999999999</v>
      </c>
      <c r="I70" s="30">
        <f t="shared" si="7"/>
        <v>0.37142857142857139</v>
      </c>
    </row>
    <row r="71" spans="1:9" ht="15.75" thickBot="1" x14ac:dyDescent="0.3">
      <c r="A71" s="63">
        <v>60</v>
      </c>
      <c r="B71" s="64" t="s">
        <v>1</v>
      </c>
      <c r="C71" s="65">
        <v>43435</v>
      </c>
      <c r="D71" s="66">
        <v>8</v>
      </c>
      <c r="E71" s="67">
        <v>5.0999999999999996</v>
      </c>
      <c r="F71" s="66">
        <f t="shared" si="0"/>
        <v>40.799999999999997</v>
      </c>
      <c r="G71" s="66">
        <f t="shared" si="9"/>
        <v>56.099999999999994</v>
      </c>
      <c r="H71" s="68">
        <f t="shared" si="3"/>
        <v>15.299999999999997</v>
      </c>
      <c r="I71" s="69">
        <f t="shared" si="7"/>
        <v>0.54642857142857137</v>
      </c>
    </row>
    <row r="72" spans="1:9" x14ac:dyDescent="0.25">
      <c r="A72" s="77"/>
      <c r="B72" s="88" t="s">
        <v>20</v>
      </c>
      <c r="C72" s="88"/>
      <c r="D72" s="78"/>
      <c r="E72" s="79">
        <f>SUM(E60:E71)</f>
        <v>67.8</v>
      </c>
      <c r="F72" s="78">
        <f t="shared" ref="F72:H72" si="10">SUM(F60:F71)</f>
        <v>494.79999999999995</v>
      </c>
      <c r="G72" s="78">
        <f t="shared" si="10"/>
        <v>745.8</v>
      </c>
      <c r="H72" s="78">
        <f t="shared" si="10"/>
        <v>251</v>
      </c>
      <c r="I72" s="80"/>
    </row>
    <row r="73" spans="1:9" ht="15.75" thickBot="1" x14ac:dyDescent="0.3">
      <c r="A73" s="81"/>
      <c r="B73" s="82" t="s">
        <v>21</v>
      </c>
      <c r="C73" s="83"/>
      <c r="D73" s="84"/>
      <c r="E73" s="85">
        <f>SUBTOTAL(9,E8:E71)</f>
        <v>696.7</v>
      </c>
      <c r="F73" s="84">
        <f>SUBTOTAL(9,F8:F71)</f>
        <v>18496.600000000002</v>
      </c>
      <c r="G73" s="84">
        <f>SUBTOTAL(9,G8:G71)</f>
        <v>25315.8</v>
      </c>
      <c r="H73" s="84">
        <f>SUBTOTAL(9,H8:H71)</f>
        <v>6819.2000000000007</v>
      </c>
      <c r="I73" s="86"/>
    </row>
    <row r="74" spans="1:9" x14ac:dyDescent="0.25">
      <c r="A74" s="39"/>
    </row>
    <row r="75" spans="1:9" x14ac:dyDescent="0.25">
      <c r="A75" s="39"/>
    </row>
    <row r="76" spans="1:9" x14ac:dyDescent="0.25">
      <c r="A76" s="39"/>
    </row>
    <row r="77" spans="1:9" x14ac:dyDescent="0.25">
      <c r="A77" s="39"/>
    </row>
    <row r="78" spans="1:9" x14ac:dyDescent="0.25">
      <c r="A78" s="39"/>
    </row>
    <row r="79" spans="1:9" x14ac:dyDescent="0.25">
      <c r="A79" s="39"/>
    </row>
  </sheetData>
  <scenarios current="0" show="0" sqref="H20 H33 H46 H59 H72 H73">
    <scenario name="ц_реаліз_яблоко" locked="1" count="5" user="Сівченко Олександр Олександрович" comment="Автор: laptop , 18.09.2018_x000a_Автор изменений: Сівченко Олександр Олександрович , 20.09.2018">
      <inputCells r="C2" val="11" numFmtId="164"/>
      <inputCells r="C3" val="5" numFmtId="164"/>
      <inputCells r="C4" val="85" numFmtId="164"/>
      <inputCells r="C5" val="27" numFmtId="164"/>
      <inputCells r="C6" val="36" numFmtId="164"/>
    </scenario>
    <scenario name="ц_реаліз_сумка" locked="1" count="5" user="Сівченко Олександр Олександрович" comment="Автор: laptop , 18.09.2018_x000a_Автор изменений: Сівченко Олександр Олександрович , 20.09.2018">
      <inputCells r="C2" val="11" numFmtId="164"/>
      <inputCells r="C3" val="5" numFmtId="164"/>
      <inputCells r="C4" val="85" numFmtId="164"/>
      <inputCells r="C5" val="27" numFmtId="164"/>
      <inputCells r="C6" val="36" numFmtId="164"/>
    </scenario>
    <scenario name="ц_реаліз_лилия" locked="1" count="5" user="Сівченко Олександр Олександрович" comment="Автор: laptop , 18.09.2018_x000a_Автор изменений: Сівченко Олександр Олександрович , 20.09.2018">
      <inputCells r="C2" val="11" numFmtId="164"/>
      <inputCells r="C3" val="5" numFmtId="164"/>
      <inputCells r="C4" val="85" numFmtId="164"/>
      <inputCells r="C5" val="27" numFmtId="164"/>
      <inputCells r="C6" val="36" numFmtId="164"/>
    </scenario>
  </scenarios>
  <autoFilter ref="B7:C71"/>
  <mergeCells count="1">
    <mergeCell ref="B72:C72"/>
  </mergeCells>
  <pageMargins left="0.78740157480314965" right="0.78740157480314965" top="0.78740157480314965" bottom="0.78740157480314965" header="0.78740157480314965" footer="0.78740157480314965"/>
  <pageSetup paperSize="11" scale="83" fitToHeight="0" orientation="landscape" r:id="rId1"/>
  <headerFooter>
    <oddHeader>Сторінка &amp;P</oddHeader>
    <oddFooter>&amp;CХарипончук Марія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Макрос111">
                <anchor moveWithCells="1">
                  <from>
                    <xdr:col>6</xdr:col>
                    <xdr:colOff>133350</xdr:colOff>
                    <xdr:row>0</xdr:row>
                    <xdr:rowOff>57150</xdr:rowOff>
                  </from>
                  <to>
                    <xdr:col>6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/>
  <dimension ref="A1:K14"/>
  <sheetViews>
    <sheetView tabSelected="1" topLeftCell="H1" zoomScaleNormal="100" workbookViewId="0">
      <selection activeCell="V18" sqref="V18"/>
    </sheetView>
  </sheetViews>
  <sheetFormatPr defaultRowHeight="15" x14ac:dyDescent="0.25"/>
  <cols>
    <col min="1" max="1" width="12.7109375" customWidth="1"/>
  </cols>
  <sheetData>
    <row r="1" spans="1:11" ht="18.75" x14ac:dyDescent="0.25">
      <c r="A1" s="48"/>
      <c r="B1" s="89" t="s">
        <v>26</v>
      </c>
      <c r="C1" s="89"/>
      <c r="D1" s="89"/>
      <c r="E1" s="89"/>
      <c r="F1" s="89"/>
      <c r="G1" s="90" t="s">
        <v>27</v>
      </c>
      <c r="H1" s="90"/>
      <c r="I1" s="90"/>
      <c r="J1" s="90"/>
      <c r="K1" s="90"/>
    </row>
    <row r="2" spans="1:11" ht="18.75" x14ac:dyDescent="0.3">
      <c r="A2" s="49"/>
      <c r="B2" s="50" t="str">
        <f>[1]Лист1!B5</f>
        <v>яблоко</v>
      </c>
      <c r="C2" s="51" t="str">
        <f>[1]Лист1!B4</f>
        <v>cумка</v>
      </c>
      <c r="D2" s="52" t="str">
        <f>[1]Лист1!B6</f>
        <v>лилия</v>
      </c>
      <c r="E2" s="53" t="str">
        <f>[1]Лист1!B3</f>
        <v>олівець</v>
      </c>
      <c r="F2" s="52" t="str">
        <f>[1]Лист1!B2</f>
        <v>ручка</v>
      </c>
      <c r="G2" s="52" t="str">
        <f>[1]Лист1!B5</f>
        <v>яблоко</v>
      </c>
      <c r="H2" s="51" t="str">
        <f>[1]Лист1!B4</f>
        <v>cумка</v>
      </c>
      <c r="I2" s="50" t="str">
        <f>[1]Лист1!B6</f>
        <v>лилия</v>
      </c>
      <c r="J2" s="50" t="str">
        <f>[1]Лист1!B3</f>
        <v>олівець</v>
      </c>
      <c r="K2" s="50" t="str">
        <f>[1]Лист1!B2</f>
        <v>ручка</v>
      </c>
    </row>
    <row r="3" spans="1:11" ht="18.75" x14ac:dyDescent="0.3">
      <c r="A3" s="87">
        <f>Аркуш1!C8</f>
        <v>43104</v>
      </c>
      <c r="B3" s="54">
        <f>[1]Лист1!D8</f>
        <v>23</v>
      </c>
      <c r="C3" s="55">
        <f>[1]Лист1!D21</f>
        <v>83</v>
      </c>
      <c r="D3" s="55">
        <f>[1]Лист1!D34</f>
        <v>26</v>
      </c>
      <c r="E3" s="55">
        <f>[1]Лист1!D47</f>
        <v>2</v>
      </c>
      <c r="F3" s="55">
        <f>[1]Лист1!D60</f>
        <v>6</v>
      </c>
      <c r="G3" s="56">
        <f>AVERAGE(B$3:B$14)</f>
        <v>19.75</v>
      </c>
      <c r="H3" s="56">
        <f t="shared" ref="H3:K14" si="0">AVERAGE(C$3:C$14)</f>
        <v>67.416666666666671</v>
      </c>
      <c r="I3" s="56">
        <f t="shared" si="0"/>
        <v>22.333333333333332</v>
      </c>
      <c r="J3" s="56">
        <f t="shared" si="0"/>
        <v>2.5</v>
      </c>
      <c r="K3" s="56">
        <f t="shared" si="0"/>
        <v>7.25</v>
      </c>
    </row>
    <row r="4" spans="1:11" ht="18.75" x14ac:dyDescent="0.3">
      <c r="A4" s="87">
        <f>Аркуш1!C9</f>
        <v>43135</v>
      </c>
      <c r="B4" s="54">
        <f>[1]Лист1!D9</f>
        <v>21</v>
      </c>
      <c r="C4" s="55">
        <f>[1]Лист1!D22</f>
        <v>84</v>
      </c>
      <c r="D4" s="55">
        <f>[1]Лист1!D35</f>
        <v>24</v>
      </c>
      <c r="E4" s="55">
        <f>[1]Лист1!D48</f>
        <v>1</v>
      </c>
      <c r="F4" s="55">
        <f>[1]Лист1!D61</f>
        <v>8</v>
      </c>
      <c r="G4" s="56">
        <f t="shared" ref="G4:G14" si="1">AVERAGE(B$3:B$14)</f>
        <v>19.75</v>
      </c>
      <c r="H4" s="56">
        <f t="shared" si="0"/>
        <v>67.416666666666671</v>
      </c>
      <c r="I4" s="56">
        <f t="shared" si="0"/>
        <v>22.333333333333332</v>
      </c>
      <c r="J4" s="56">
        <f t="shared" si="0"/>
        <v>2.5</v>
      </c>
      <c r="K4" s="56">
        <f t="shared" si="0"/>
        <v>7.25</v>
      </c>
    </row>
    <row r="5" spans="1:11" ht="18.75" x14ac:dyDescent="0.3">
      <c r="A5" s="87">
        <f>Аркуш1!C10</f>
        <v>43163</v>
      </c>
      <c r="B5" s="54">
        <f>[1]Лист1!D10</f>
        <v>12</v>
      </c>
      <c r="C5" s="55">
        <f>[1]Лист1!D23</f>
        <v>73</v>
      </c>
      <c r="D5" s="55">
        <f>[1]Лист1!D36</f>
        <v>19</v>
      </c>
      <c r="E5" s="55">
        <f>[1]Лист1!D49</f>
        <v>1</v>
      </c>
      <c r="F5" s="55">
        <f>[1]Лист1!D62</f>
        <v>8</v>
      </c>
      <c r="G5" s="56">
        <f t="shared" si="1"/>
        <v>19.75</v>
      </c>
      <c r="H5" s="56">
        <f t="shared" si="0"/>
        <v>67.416666666666671</v>
      </c>
      <c r="I5" s="56">
        <f t="shared" si="0"/>
        <v>22.333333333333332</v>
      </c>
      <c r="J5" s="56">
        <f t="shared" si="0"/>
        <v>2.5</v>
      </c>
      <c r="K5" s="56">
        <f t="shared" si="0"/>
        <v>7.25</v>
      </c>
    </row>
    <row r="6" spans="1:11" ht="18.75" x14ac:dyDescent="0.3">
      <c r="A6" s="87">
        <f>Аркуш1!C11</f>
        <v>43194</v>
      </c>
      <c r="B6" s="54">
        <f>[1]Лист1!D11</f>
        <v>14</v>
      </c>
      <c r="C6" s="55">
        <f>[1]Лист1!D24</f>
        <v>71</v>
      </c>
      <c r="D6" s="55">
        <f>[1]Лист1!D37</f>
        <v>18</v>
      </c>
      <c r="E6" s="55">
        <f>[1]Лист1!D50</f>
        <v>2</v>
      </c>
      <c r="F6" s="55">
        <f>[1]Лист1!D63</f>
        <v>7</v>
      </c>
      <c r="G6" s="56">
        <f t="shared" si="1"/>
        <v>19.75</v>
      </c>
      <c r="H6" s="56">
        <f t="shared" si="0"/>
        <v>67.416666666666671</v>
      </c>
      <c r="I6" s="56">
        <f t="shared" si="0"/>
        <v>22.333333333333332</v>
      </c>
      <c r="J6" s="56">
        <f t="shared" si="0"/>
        <v>2.5</v>
      </c>
      <c r="K6" s="56">
        <f t="shared" si="0"/>
        <v>7.25</v>
      </c>
    </row>
    <row r="7" spans="1:11" ht="18.75" x14ac:dyDescent="0.3">
      <c r="A7" s="87">
        <f>Аркуш1!C12</f>
        <v>43224</v>
      </c>
      <c r="B7" s="54">
        <f>[1]Лист1!D12</f>
        <v>23</v>
      </c>
      <c r="C7" s="55">
        <f>[1]Лист1!D25</f>
        <v>63</v>
      </c>
      <c r="D7" s="55">
        <f>[1]Лист1!D38</f>
        <v>21</v>
      </c>
      <c r="E7" s="55">
        <f>[1]Лист1!D51</f>
        <v>3</v>
      </c>
      <c r="F7" s="55">
        <f>[1]Лист1!D64</f>
        <v>5</v>
      </c>
      <c r="G7" s="56">
        <f t="shared" si="1"/>
        <v>19.75</v>
      </c>
      <c r="H7" s="56">
        <f t="shared" si="0"/>
        <v>67.416666666666671</v>
      </c>
      <c r="I7" s="56">
        <f t="shared" si="0"/>
        <v>22.333333333333332</v>
      </c>
      <c r="J7" s="56">
        <f t="shared" si="0"/>
        <v>2.5</v>
      </c>
      <c r="K7" s="56">
        <f t="shared" si="0"/>
        <v>7.25</v>
      </c>
    </row>
    <row r="8" spans="1:11" ht="18.75" x14ac:dyDescent="0.3">
      <c r="A8" s="87">
        <f>Аркуш1!C13</f>
        <v>43255</v>
      </c>
      <c r="B8" s="54">
        <f>[1]Лист1!D13</f>
        <v>24</v>
      </c>
      <c r="C8" s="55">
        <f>[1]Лист1!D26</f>
        <v>56</v>
      </c>
      <c r="D8" s="55">
        <f>[1]Лист1!D39</f>
        <v>27</v>
      </c>
      <c r="E8" s="55">
        <f>[1]Лист1!D52</f>
        <v>3</v>
      </c>
      <c r="F8" s="55">
        <f>[1]Лист1!D65</f>
        <v>6</v>
      </c>
      <c r="G8" s="56">
        <f t="shared" si="1"/>
        <v>19.75</v>
      </c>
      <c r="H8" s="56">
        <f t="shared" si="0"/>
        <v>67.416666666666671</v>
      </c>
      <c r="I8" s="56">
        <f t="shared" si="0"/>
        <v>22.333333333333332</v>
      </c>
      <c r="J8" s="56">
        <f t="shared" si="0"/>
        <v>2.5</v>
      </c>
      <c r="K8" s="56">
        <f t="shared" si="0"/>
        <v>7.25</v>
      </c>
    </row>
    <row r="9" spans="1:11" ht="18.75" x14ac:dyDescent="0.3">
      <c r="A9" s="87">
        <f>Аркуш1!C14</f>
        <v>43285</v>
      </c>
      <c r="B9" s="54">
        <f>[1]Лист1!D14</f>
        <v>19</v>
      </c>
      <c r="C9" s="55">
        <f>[1]Лист1!D27</f>
        <v>73</v>
      </c>
      <c r="D9" s="55">
        <f>[1]Лист1!D40</f>
        <v>24</v>
      </c>
      <c r="E9" s="55">
        <f>[1]Лист1!D53</f>
        <v>2</v>
      </c>
      <c r="F9" s="55">
        <f>[1]Лист1!D66</f>
        <v>6</v>
      </c>
      <c r="G9" s="56">
        <f t="shared" si="1"/>
        <v>19.75</v>
      </c>
      <c r="H9" s="56">
        <f t="shared" si="0"/>
        <v>67.416666666666671</v>
      </c>
      <c r="I9" s="56">
        <f t="shared" si="0"/>
        <v>22.333333333333332</v>
      </c>
      <c r="J9" s="56">
        <f t="shared" si="0"/>
        <v>2.5</v>
      </c>
      <c r="K9" s="56">
        <f t="shared" si="0"/>
        <v>7.25</v>
      </c>
    </row>
    <row r="10" spans="1:11" ht="18.75" x14ac:dyDescent="0.3">
      <c r="A10" s="87">
        <f>Аркуш1!C15</f>
        <v>43316</v>
      </c>
      <c r="B10" s="54">
        <f>[1]Лист1!D15</f>
        <v>25</v>
      </c>
      <c r="C10" s="55">
        <f>[1]Лист1!D28</f>
        <v>62</v>
      </c>
      <c r="D10" s="55">
        <f>[1]Лист1!D41</f>
        <v>26</v>
      </c>
      <c r="E10" s="55">
        <f>[1]Лист1!D54</f>
        <v>2</v>
      </c>
      <c r="F10" s="55">
        <f>[1]Лист1!D67</f>
        <v>7</v>
      </c>
      <c r="G10" s="56">
        <f t="shared" si="1"/>
        <v>19.75</v>
      </c>
      <c r="H10" s="56">
        <f t="shared" si="0"/>
        <v>67.416666666666671</v>
      </c>
      <c r="I10" s="56">
        <f t="shared" si="0"/>
        <v>22.333333333333332</v>
      </c>
      <c r="J10" s="56">
        <f t="shared" si="0"/>
        <v>2.5</v>
      </c>
      <c r="K10" s="56">
        <f t="shared" si="0"/>
        <v>7.25</v>
      </c>
    </row>
    <row r="11" spans="1:11" ht="18.75" x14ac:dyDescent="0.3">
      <c r="A11" s="87">
        <f>Аркуш1!C16</f>
        <v>43347</v>
      </c>
      <c r="B11" s="54">
        <f>[1]Лист1!D16</f>
        <v>15</v>
      </c>
      <c r="C11" s="55">
        <f>[1]Лист1!D29</f>
        <v>65</v>
      </c>
      <c r="D11" s="55">
        <f>[1]Лист1!D42</f>
        <v>18</v>
      </c>
      <c r="E11" s="55">
        <f>[1]Лист1!D55</f>
        <v>1</v>
      </c>
      <c r="F11" s="55">
        <f>[1]Лист1!D68</f>
        <v>8</v>
      </c>
      <c r="G11" s="56">
        <f t="shared" si="1"/>
        <v>19.75</v>
      </c>
      <c r="H11" s="56">
        <f t="shared" si="0"/>
        <v>67.416666666666671</v>
      </c>
      <c r="I11" s="56">
        <f t="shared" si="0"/>
        <v>22.333333333333332</v>
      </c>
      <c r="J11" s="56">
        <f t="shared" si="0"/>
        <v>2.5</v>
      </c>
      <c r="K11" s="56">
        <f t="shared" si="0"/>
        <v>7.25</v>
      </c>
    </row>
    <row r="12" spans="1:11" ht="18.75" x14ac:dyDescent="0.3">
      <c r="A12" s="87">
        <f>Аркуш1!C17</f>
        <v>43377</v>
      </c>
      <c r="B12" s="54">
        <f>[1]Лист1!D17</f>
        <v>23</v>
      </c>
      <c r="C12" s="55">
        <f>[1]Лист1!D30</f>
        <v>58</v>
      </c>
      <c r="D12" s="55">
        <f>[1]Лист1!D43</f>
        <v>17</v>
      </c>
      <c r="E12" s="55">
        <f>[1]Лист1!D56</f>
        <v>2</v>
      </c>
      <c r="F12" s="55">
        <f>[1]Лист1!D69</f>
        <v>9</v>
      </c>
      <c r="G12" s="56">
        <f t="shared" si="1"/>
        <v>19.75</v>
      </c>
      <c r="H12" s="56">
        <f t="shared" si="0"/>
        <v>67.416666666666671</v>
      </c>
      <c r="I12" s="56">
        <f t="shared" si="0"/>
        <v>22.333333333333332</v>
      </c>
      <c r="J12" s="56">
        <f t="shared" si="0"/>
        <v>2.5</v>
      </c>
      <c r="K12" s="56">
        <f t="shared" si="0"/>
        <v>7.25</v>
      </c>
    </row>
    <row r="13" spans="1:11" ht="18.75" x14ac:dyDescent="0.3">
      <c r="A13" s="87">
        <f>Аркуш1!C18</f>
        <v>43408</v>
      </c>
      <c r="B13" s="54">
        <f>[1]Лист1!D18</f>
        <v>18</v>
      </c>
      <c r="C13" s="55">
        <f>[1]Лист1!D31</f>
        <v>61</v>
      </c>
      <c r="D13" s="55">
        <f>[1]Лист1!D44</f>
        <v>24</v>
      </c>
      <c r="E13" s="55">
        <f>[1]Лист1!D57</f>
        <v>3</v>
      </c>
      <c r="F13" s="55">
        <f>[1]Лист1!D70</f>
        <v>9</v>
      </c>
      <c r="G13" s="56">
        <f t="shared" si="1"/>
        <v>19.75</v>
      </c>
      <c r="H13" s="56">
        <f t="shared" si="0"/>
        <v>67.416666666666671</v>
      </c>
      <c r="I13" s="56">
        <f t="shared" si="0"/>
        <v>22.333333333333332</v>
      </c>
      <c r="J13" s="56">
        <f t="shared" si="0"/>
        <v>2.5</v>
      </c>
      <c r="K13" s="56">
        <f t="shared" si="0"/>
        <v>7.25</v>
      </c>
    </row>
    <row r="14" spans="1:11" ht="18.75" x14ac:dyDescent="0.3">
      <c r="A14" s="87">
        <f>Аркуш1!C19</f>
        <v>43438</v>
      </c>
      <c r="B14" s="54">
        <f>[1]Лист1!D19</f>
        <v>20</v>
      </c>
      <c r="C14" s="55">
        <f>[1]Лист1!D32</f>
        <v>60</v>
      </c>
      <c r="D14" s="55">
        <f>[1]Лист1!D45</f>
        <v>24</v>
      </c>
      <c r="E14" s="55">
        <f>[1]Лист1!D58</f>
        <v>8</v>
      </c>
      <c r="F14" s="55">
        <f>[1]Лист1!D71</f>
        <v>8</v>
      </c>
      <c r="G14" s="56">
        <f t="shared" si="1"/>
        <v>19.75</v>
      </c>
      <c r="H14" s="56">
        <f t="shared" si="0"/>
        <v>67.416666666666671</v>
      </c>
      <c r="I14" s="56">
        <f t="shared" si="0"/>
        <v>22.333333333333332</v>
      </c>
      <c r="J14" s="56">
        <f t="shared" si="0"/>
        <v>2.5</v>
      </c>
      <c r="K14" s="56">
        <f t="shared" si="0"/>
        <v>7.25</v>
      </c>
    </row>
  </sheetData>
  <mergeCells count="2">
    <mergeCell ref="B1:F1"/>
    <mergeCell ref="G1:K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14</vt:i4>
      </vt:variant>
    </vt:vector>
  </HeadingPairs>
  <TitlesOfParts>
    <vt:vector size="17" baseType="lpstr">
      <vt:lpstr>Структура сценария</vt:lpstr>
      <vt:lpstr>Аркуш1</vt:lpstr>
      <vt:lpstr>Аркуш2</vt:lpstr>
      <vt:lpstr>cумка</vt:lpstr>
      <vt:lpstr>Аркуш1!Заголовки_для_печати</vt:lpstr>
      <vt:lpstr>Курс</vt:lpstr>
      <vt:lpstr>лилия</vt:lpstr>
      <vt:lpstr>лилияИтог</vt:lpstr>
      <vt:lpstr>Аркуш1!Область_печати</vt:lpstr>
      <vt:lpstr>общийИтог</vt:lpstr>
      <vt:lpstr>олівець</vt:lpstr>
      <vt:lpstr>олівецьИтог</vt:lpstr>
      <vt:lpstr>ручка</vt:lpstr>
      <vt:lpstr>ручкаИтог</vt:lpstr>
      <vt:lpstr>сумкаИтог</vt:lpstr>
      <vt:lpstr>яблоко</vt:lpstr>
      <vt:lpstr>яблокоИтог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Харипончук Марія Миколаївна</cp:lastModifiedBy>
  <cp:lastPrinted>2018-09-20T06:33:52Z</cp:lastPrinted>
  <dcterms:created xsi:type="dcterms:W3CDTF">2018-09-18T19:00:08Z</dcterms:created>
  <dcterms:modified xsi:type="dcterms:W3CDTF">2018-10-04T06:49:22Z</dcterms:modified>
</cp:coreProperties>
</file>